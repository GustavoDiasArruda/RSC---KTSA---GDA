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ktsabr-my.sharepoint.com/personal/gustavo_arruda_ktsa_com_br/Documents/PROJETOS/Engenharia/RSC - Relatório de Serviço de Campo/"/>
    </mc:Choice>
  </mc:AlternateContent>
  <xr:revisionPtr revIDLastSave="70" documentId="13_ncr:1_{F948FEA9-3545-4234-B576-12B0A63E47C7}" xr6:coauthVersionLast="47" xr6:coauthVersionMax="47" xr10:uidLastSave="{25BA8208-61D9-401D-84D6-D1DD524DA5D2}"/>
  <bookViews>
    <workbookView xWindow="-108" yWindow="-108" windowWidth="23256" windowHeight="12456" tabRatio="688" xr2:uid="{00000000-000D-0000-FFFF-FFFF00000000}"/>
  </bookViews>
  <sheets>
    <sheet name="Frente - Relatório de SC - 1" sheetId="4" r:id="rId1"/>
    <sheet name="Verso - Relatório de SC - 2" sheetId="3" r:id="rId2"/>
    <sheet name="KM e Tempo Percurso" sheetId="6" r:id="rId3"/>
    <sheet name="KM Hotel" sheetId="8" r:id="rId4"/>
    <sheet name="Profissionais" sheetId="7" state="hidden" r:id="rId5"/>
  </sheets>
  <definedNames>
    <definedName name="_xlnm._FilterDatabase" localSheetId="0" hidden="1">'Frente - Relatório de SC - 1'!$A$1:$AZ$13</definedName>
    <definedName name="_xlnm._FilterDatabase" localSheetId="2" hidden="1">'KM e Tempo Percurso'!$A$7:$A$115</definedName>
    <definedName name="_xlnm._FilterDatabase" localSheetId="3" hidden="1">'KM Hotel'!$A$7:$A$27</definedName>
    <definedName name="_xlnm.Print_Area" localSheetId="0">'Frente - Relatório de SC - 1'!$A$1:$AZ$49</definedName>
    <definedName name="_xlnm.Print_Area" localSheetId="2">'KM e Tempo Percurso'!$A$1:$O$121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6" l="1"/>
  <c r="L15" i="6"/>
  <c r="O114" i="6" l="1"/>
  <c r="L114" i="6"/>
  <c r="G6" i="4" l="1"/>
  <c r="AV25" i="4"/>
  <c r="AQ25" i="4"/>
  <c r="AL25" i="4"/>
  <c r="AG25" i="4"/>
  <c r="AB25" i="4"/>
  <c r="W25" i="4"/>
  <c r="R25" i="4"/>
  <c r="M25" i="4"/>
  <c r="AV24" i="4"/>
  <c r="AQ24" i="4"/>
  <c r="AL24" i="4"/>
  <c r="AG24" i="4"/>
  <c r="AB24" i="4"/>
  <c r="W24" i="4"/>
  <c r="R24" i="4"/>
  <c r="M24" i="4"/>
  <c r="AV23" i="4"/>
  <c r="AQ23" i="4"/>
  <c r="AL23" i="4"/>
  <c r="AG23" i="4"/>
  <c r="AB23" i="4"/>
  <c r="W23" i="4"/>
  <c r="R23" i="4"/>
  <c r="M23" i="4"/>
  <c r="AV22" i="4"/>
  <c r="AQ22" i="4"/>
  <c r="AL22" i="4"/>
  <c r="AG22" i="4"/>
  <c r="AB22" i="4"/>
  <c r="W22" i="4"/>
  <c r="R22" i="4"/>
  <c r="M22" i="4"/>
  <c r="AL9" i="4"/>
  <c r="G9" i="4"/>
  <c r="AL8" i="4"/>
  <c r="G8" i="4"/>
  <c r="AV7" i="4"/>
  <c r="Z7" i="4"/>
  <c r="G7" i="4"/>
  <c r="O107" i="6"/>
  <c r="L107" i="6"/>
  <c r="O55" i="6"/>
  <c r="L55" i="6"/>
  <c r="O69" i="6"/>
  <c r="L69" i="6"/>
  <c r="M17" i="8"/>
  <c r="J17" i="8"/>
  <c r="O78" i="6"/>
  <c r="L78" i="6"/>
  <c r="O14" i="6"/>
  <c r="L14" i="6"/>
  <c r="O62" i="6" l="1"/>
  <c r="L62" i="6"/>
  <c r="O61" i="6"/>
  <c r="L61" i="6"/>
  <c r="O57" i="6" l="1"/>
  <c r="L57" i="6"/>
  <c r="O88" i="6"/>
  <c r="L88" i="6"/>
  <c r="O33" i="6"/>
  <c r="L33" i="6"/>
  <c r="O59" i="6"/>
  <c r="L59" i="6"/>
  <c r="M15" i="8"/>
  <c r="J15" i="8"/>
  <c r="O66" i="6"/>
  <c r="L66" i="6"/>
  <c r="O86" i="6"/>
  <c r="L86" i="6"/>
  <c r="O116" i="6"/>
  <c r="L116" i="6"/>
  <c r="O89" i="6" l="1"/>
  <c r="L89" i="6"/>
  <c r="O74" i="6" l="1"/>
  <c r="L74" i="6"/>
  <c r="L75" i="6"/>
  <c r="O75" i="6"/>
  <c r="M27" i="8"/>
  <c r="J27" i="8"/>
  <c r="M26" i="8"/>
  <c r="J26" i="8"/>
  <c r="M25" i="8"/>
  <c r="J25" i="8"/>
  <c r="M24" i="8"/>
  <c r="J24" i="8"/>
  <c r="M23" i="8"/>
  <c r="J23" i="8"/>
  <c r="M22" i="8"/>
  <c r="J22" i="8"/>
  <c r="M21" i="8"/>
  <c r="J21" i="8"/>
  <c r="M20" i="8"/>
  <c r="J20" i="8"/>
  <c r="M19" i="8"/>
  <c r="J19" i="8"/>
  <c r="M18" i="8"/>
  <c r="J18" i="8"/>
  <c r="M16" i="8"/>
  <c r="J16" i="8"/>
  <c r="M14" i="8"/>
  <c r="J14" i="8"/>
  <c r="M13" i="8"/>
  <c r="J13" i="8"/>
  <c r="M12" i="8"/>
  <c r="J12" i="8"/>
  <c r="M11" i="8"/>
  <c r="J11" i="8"/>
  <c r="M10" i="8"/>
  <c r="J10" i="8"/>
  <c r="M9" i="8"/>
  <c r="J9" i="8"/>
  <c r="M8" i="8"/>
  <c r="J8" i="8"/>
  <c r="M7" i="8"/>
  <c r="J7" i="8"/>
  <c r="O109" i="6"/>
  <c r="L109" i="6"/>
  <c r="O68" i="6"/>
  <c r="L68" i="6"/>
  <c r="O39" i="6"/>
  <c r="L39" i="6"/>
  <c r="O87" i="6"/>
  <c r="L87" i="6"/>
  <c r="O82" i="6"/>
  <c r="L82" i="6"/>
  <c r="O16" i="6"/>
  <c r="L16" i="6"/>
  <c r="O13" i="6"/>
  <c r="L13" i="6"/>
  <c r="O63" i="6"/>
  <c r="L63" i="6"/>
  <c r="O56" i="6"/>
  <c r="L56" i="6"/>
  <c r="O17" i="6"/>
  <c r="L17" i="6"/>
  <c r="O79" i="6"/>
  <c r="L79" i="6"/>
  <c r="O46" i="6"/>
  <c r="L46" i="6"/>
  <c r="O111" i="6" l="1"/>
  <c r="L111" i="6"/>
  <c r="O91" i="6"/>
  <c r="L91" i="6"/>
  <c r="O121" i="6"/>
  <c r="L121" i="6"/>
  <c r="O120" i="6"/>
  <c r="L120" i="6"/>
  <c r="O119" i="6"/>
  <c r="L119" i="6"/>
  <c r="O117" i="6"/>
  <c r="L117" i="6"/>
  <c r="O115" i="6"/>
  <c r="L115" i="6"/>
  <c r="O113" i="6"/>
  <c r="L113" i="6"/>
  <c r="O112" i="6"/>
  <c r="L112" i="6"/>
  <c r="O110" i="6"/>
  <c r="L110" i="6"/>
  <c r="O108" i="6"/>
  <c r="L108" i="6"/>
  <c r="O106" i="6"/>
  <c r="L106" i="6"/>
  <c r="O105" i="6"/>
  <c r="L105" i="6"/>
  <c r="O104" i="6"/>
  <c r="L104" i="6"/>
  <c r="O103" i="6"/>
  <c r="L103" i="6"/>
  <c r="O102" i="6"/>
  <c r="L102" i="6"/>
  <c r="O101" i="6"/>
  <c r="L101" i="6"/>
  <c r="O100" i="6"/>
  <c r="L100" i="6"/>
  <c r="O99" i="6"/>
  <c r="L99" i="6"/>
  <c r="O98" i="6"/>
  <c r="L98" i="6"/>
  <c r="O97" i="6"/>
  <c r="L97" i="6"/>
  <c r="O96" i="6"/>
  <c r="L96" i="6"/>
  <c r="O95" i="6"/>
  <c r="L95" i="6"/>
  <c r="O94" i="6"/>
  <c r="L94" i="6"/>
  <c r="O93" i="6"/>
  <c r="L93" i="6"/>
  <c r="O92" i="6"/>
  <c r="L92" i="6"/>
  <c r="O90" i="6"/>
  <c r="L90" i="6"/>
  <c r="O85" i="6"/>
  <c r="L85" i="6"/>
  <c r="O84" i="6"/>
  <c r="L84" i="6"/>
  <c r="O83" i="6"/>
  <c r="L83" i="6"/>
  <c r="O81" i="6"/>
  <c r="L81" i="6"/>
  <c r="O80" i="6"/>
  <c r="L80" i="6"/>
  <c r="O77" i="6"/>
  <c r="L77" i="6"/>
  <c r="O76" i="6"/>
  <c r="L76" i="6"/>
  <c r="O72" i="6"/>
  <c r="L72" i="6"/>
  <c r="O71" i="6"/>
  <c r="L71" i="6"/>
  <c r="O70" i="6"/>
  <c r="L70" i="6"/>
  <c r="O67" i="6"/>
  <c r="L67" i="6"/>
  <c r="O65" i="6"/>
  <c r="L65" i="6"/>
  <c r="O64" i="6"/>
  <c r="L64" i="6"/>
  <c r="O60" i="6"/>
  <c r="L60" i="6"/>
  <c r="O58" i="6"/>
  <c r="L58" i="6"/>
  <c r="O54" i="6"/>
  <c r="L54" i="6"/>
  <c r="O53" i="6"/>
  <c r="L53" i="6"/>
  <c r="O52" i="6"/>
  <c r="L52" i="6"/>
  <c r="O51" i="6"/>
  <c r="L51" i="6"/>
  <c r="O50" i="6"/>
  <c r="L50" i="6"/>
  <c r="O49" i="6"/>
  <c r="L49" i="6"/>
  <c r="O48" i="6"/>
  <c r="L48" i="6"/>
  <c r="O47" i="6"/>
  <c r="L47" i="6"/>
  <c r="O118" i="6"/>
  <c r="L118" i="6"/>
  <c r="O45" i="6"/>
  <c r="L45" i="6"/>
  <c r="O44" i="6"/>
  <c r="L44" i="6"/>
  <c r="O43" i="6"/>
  <c r="L43" i="6"/>
  <c r="O42" i="6"/>
  <c r="L42" i="6"/>
  <c r="O41" i="6"/>
  <c r="L41" i="6"/>
  <c r="O40" i="6"/>
  <c r="L40" i="6"/>
  <c r="O38" i="6"/>
  <c r="L38" i="6"/>
  <c r="O37" i="6"/>
  <c r="L37" i="6"/>
  <c r="O36" i="6"/>
  <c r="L36" i="6"/>
  <c r="O35" i="6"/>
  <c r="L35" i="6"/>
  <c r="O34" i="6"/>
  <c r="L34" i="6"/>
  <c r="O32" i="6"/>
  <c r="L32" i="6"/>
  <c r="O31" i="6"/>
  <c r="L31" i="6"/>
  <c r="O73" i="6"/>
  <c r="L73" i="6"/>
  <c r="O30" i="6"/>
  <c r="L30" i="6"/>
  <c r="O29" i="6"/>
  <c r="L29" i="6"/>
  <c r="O28" i="6"/>
  <c r="L28" i="6"/>
  <c r="O27" i="6"/>
  <c r="L27" i="6"/>
  <c r="O26" i="6"/>
  <c r="L26" i="6"/>
  <c r="O25" i="6"/>
  <c r="L25" i="6"/>
  <c r="O24" i="6"/>
  <c r="L24" i="6"/>
  <c r="O23" i="6"/>
  <c r="L23" i="6"/>
  <c r="O22" i="6"/>
  <c r="L22" i="6"/>
  <c r="O21" i="6"/>
  <c r="L21" i="6"/>
  <c r="O20" i="6"/>
  <c r="L20" i="6"/>
  <c r="O19" i="6"/>
  <c r="L19" i="6"/>
  <c r="O18" i="6"/>
  <c r="L18" i="6"/>
  <c r="O12" i="6"/>
  <c r="L12" i="6"/>
  <c r="O11" i="6"/>
  <c r="L11" i="6"/>
  <c r="O10" i="6"/>
  <c r="L10" i="6"/>
  <c r="O9" i="6"/>
  <c r="L9" i="6"/>
  <c r="O8" i="6"/>
  <c r="L8" i="6"/>
  <c r="O7" i="6"/>
  <c r="L7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<sst xmlns="http://schemas.openxmlformats.org/spreadsheetml/2006/main" count="1328" uniqueCount="807">
  <si>
    <t xml:space="preserve">RSC  </t>
  </si>
  <si>
    <t>KTSA Automação Industrial LTDA.</t>
  </si>
  <si>
    <t>RELATÓRIO DE SERVIÇOS DE CAMPO</t>
  </si>
  <si>
    <t>Empresa:</t>
  </si>
  <si>
    <t>Unipar (Indupa)</t>
  </si>
  <si>
    <t>Número CPM:</t>
  </si>
  <si>
    <t>Endereço:</t>
  </si>
  <si>
    <t>Bairro:</t>
  </si>
  <si>
    <t>Cidade:</t>
  </si>
  <si>
    <t>Estado:</t>
  </si>
  <si>
    <t>SP</t>
  </si>
  <si>
    <t>Solicitante:</t>
  </si>
  <si>
    <t>Wanderley E. Bazani</t>
  </si>
  <si>
    <t>Departamento:</t>
  </si>
  <si>
    <t>Engenharia</t>
  </si>
  <si>
    <t>E-mail:</t>
  </si>
  <si>
    <t>wanderley.bazani@solvay.com</t>
  </si>
  <si>
    <t>Telefone / Fax:</t>
  </si>
  <si>
    <t>(11) 98358-7935</t>
  </si>
  <si>
    <t>Serviço:</t>
  </si>
  <si>
    <t>Levantamento de Campo</t>
  </si>
  <si>
    <t>Comissionamento</t>
  </si>
  <si>
    <t>Start-up</t>
  </si>
  <si>
    <t>Operação Assistida</t>
  </si>
  <si>
    <t>Assistência Técnica</t>
  </si>
  <si>
    <t>Contrato de Manutenção</t>
  </si>
  <si>
    <t>Outro</t>
  </si>
  <si>
    <t>Periculosidade</t>
  </si>
  <si>
    <t>Serviços a executar:</t>
  </si>
  <si>
    <t>Área:</t>
  </si>
  <si>
    <t>RELATÓRIO DE HORAS</t>
  </si>
  <si>
    <t>DIA DA SEMANA</t>
  </si>
  <si>
    <t>SEG</t>
  </si>
  <si>
    <t>TER</t>
  </si>
  <si>
    <t>QUA</t>
  </si>
  <si>
    <t>QUI</t>
  </si>
  <si>
    <t>SEX</t>
  </si>
  <si>
    <t>SAB</t>
  </si>
  <si>
    <t>DOM</t>
  </si>
  <si>
    <t>DATA (Dia/Mês/Ano)</t>
  </si>
  <si>
    <t xml:space="preserve"> Horário de Chegada</t>
  </si>
  <si>
    <t xml:space="preserve"> Horário de Saída</t>
  </si>
  <si>
    <t xml:space="preserve"> Intervalo (Almoço/Jantar)</t>
  </si>
  <si>
    <t xml:space="preserve"> Deslocamento Ida</t>
  </si>
  <si>
    <t xml:space="preserve"> Deslocamento Volta</t>
  </si>
  <si>
    <t xml:space="preserve"> Distância Ida (Km)</t>
  </si>
  <si>
    <t xml:space="preserve"> Distância volta (Km)</t>
  </si>
  <si>
    <t>DESPESAS</t>
  </si>
  <si>
    <t>Descrição</t>
  </si>
  <si>
    <t>R$</t>
  </si>
  <si>
    <t xml:space="preserve"> Pedágio</t>
  </si>
  <si>
    <t xml:space="preserve"> Refeição</t>
  </si>
  <si>
    <t xml:space="preserve"> Passagem</t>
  </si>
  <si>
    <t xml:space="preserve"> Hotel</t>
  </si>
  <si>
    <t xml:space="preserve"> Outros (Especificar)</t>
  </si>
  <si>
    <t>Desenvolvimento no cliente dentro do escopo. Horas não debitadas do contrato</t>
  </si>
  <si>
    <t>Horas dentro do escopo.                      Start-up/Acompanhamento</t>
  </si>
  <si>
    <t>Serviço caracterizado como alteração de Escopo. Serviço H/H</t>
  </si>
  <si>
    <t xml:space="preserve"> 5.0-Desenvolvimento Software PLC</t>
  </si>
  <si>
    <t xml:space="preserve"> 6.0-Deslocamento/Viagem</t>
  </si>
  <si>
    <t xml:space="preserve"> 8.0-Assist Técnica</t>
  </si>
  <si>
    <t xml:space="preserve"> 5.1-Desenvolvimento Software Supervisório</t>
  </si>
  <si>
    <t xml:space="preserve"> 6.1-Exames/Integração</t>
  </si>
  <si>
    <t xml:space="preserve"> 8.1-Suporte Técnico</t>
  </si>
  <si>
    <t xml:space="preserve"> 5.2-Desenvolvimento Software IHM</t>
  </si>
  <si>
    <t xml:space="preserve"> 6.2-Comissionamento</t>
  </si>
  <si>
    <t xml:space="preserve"> 8.2-Serviço Adicional</t>
  </si>
  <si>
    <t xml:space="preserve"> 5.3-Desenvolvimento Software Redes Comun.</t>
  </si>
  <si>
    <t xml:space="preserve"> 6.3-Teste Funcional/Start-up</t>
  </si>
  <si>
    <t xml:space="preserve"> 9.0-Serviço de Montagem</t>
  </si>
  <si>
    <t xml:space="preserve"> 5.4-Inspeção e Teste</t>
  </si>
  <si>
    <t xml:space="preserve"> 6.4-Operação Assistida</t>
  </si>
  <si>
    <t xml:space="preserve"> 5.5-Teste Aceitação Fabrica</t>
  </si>
  <si>
    <t xml:space="preserve"> 6.5-Treinamento Operação/Manut.</t>
  </si>
  <si>
    <t xml:space="preserve"> 7.0-Garantia</t>
  </si>
  <si>
    <t xml:space="preserve"> 7.1-Contrato Manutenção</t>
  </si>
  <si>
    <t>Horas trabalhadas "Fora do Horário Normal de Trabalho", Sábados, Domingos e Feriados serão cobradas adicionalmente como horas extras conforme nossa proposta comercial. Horas paradas por responsabilidade do cliente serão cobradas conforme valores vigentes quando do Serviço de Campo.</t>
  </si>
  <si>
    <t>Ass. Cliente  /  Data</t>
  </si>
  <si>
    <t>Ass. Técnico  /  Data</t>
  </si>
  <si>
    <t>Responsável KTSA  /  Data</t>
  </si>
  <si>
    <t xml:space="preserve">Nome: </t>
  </si>
  <si>
    <t>Nome:</t>
  </si>
  <si>
    <t xml:space="preserve"> ALAN FERREIRA</t>
  </si>
  <si>
    <t xml:space="preserve"> ALISSON OLIVEIRA</t>
  </si>
  <si>
    <t xml:space="preserve"> ALTINO GERALDO</t>
  </si>
  <si>
    <t xml:space="preserve"> DEIVISON ALMEIDA</t>
  </si>
  <si>
    <t xml:space="preserve"> EDSON GOMES</t>
  </si>
  <si>
    <t xml:space="preserve"> FELIPE OROSCO</t>
  </si>
  <si>
    <t xml:space="preserve"> FELIPE PADUANO</t>
  </si>
  <si>
    <t xml:space="preserve"> FELIPE SASSO</t>
  </si>
  <si>
    <t xml:space="preserve"> GUSTAVO ARRUDA </t>
  </si>
  <si>
    <t xml:space="preserve"> JONATHAN ALVARES</t>
  </si>
  <si>
    <t xml:space="preserve"> JUAN SILVA</t>
  </si>
  <si>
    <t xml:space="preserve"> LEANDRO GARCIA</t>
  </si>
  <si>
    <t xml:space="preserve"> LEONARDO FERRONATO</t>
  </si>
  <si>
    <t xml:space="preserve"> MARCELLA SILVA</t>
  </si>
  <si>
    <t xml:space="preserve"> MATHEUS SILVA</t>
  </si>
  <si>
    <t xml:space="preserve"> MILTON KEN KAMIYA</t>
  </si>
  <si>
    <t xml:space="preserve"> PAULA SANTOS</t>
  </si>
  <si>
    <t xml:space="preserve"> PETER KLING</t>
  </si>
  <si>
    <t xml:space="preserve"> RAFAEL CHAVES</t>
  </si>
  <si>
    <t xml:space="preserve"> REGINALDO JORGE</t>
  </si>
  <si>
    <t xml:space="preserve"> RICARDO SANTOS</t>
  </si>
  <si>
    <t xml:space="preserve"> VANDERLEI BUENO</t>
  </si>
  <si>
    <t>Código</t>
  </si>
  <si>
    <t>Descrição dos Serviços Executados:</t>
  </si>
  <si>
    <t>Destino</t>
  </si>
  <si>
    <t>Cidade</t>
  </si>
  <si>
    <t>Estado</t>
  </si>
  <si>
    <t>Endereço</t>
  </si>
  <si>
    <t>Bairro</t>
  </si>
  <si>
    <t>Solicitante</t>
  </si>
  <si>
    <t>Area</t>
  </si>
  <si>
    <t>e-mail</t>
  </si>
  <si>
    <t>Telefone</t>
  </si>
  <si>
    <t>Distância do percurso (Km)             da KTSA até o cliente</t>
  </si>
  <si>
    <t>Tempo do percurso (Horas)             da KTSA até o cliente</t>
  </si>
  <si>
    <t>Ida</t>
  </si>
  <si>
    <t>Volta</t>
  </si>
  <si>
    <t>Total</t>
  </si>
  <si>
    <t>ABB (Guarulhos)</t>
  </si>
  <si>
    <t>Guarulhos</t>
  </si>
  <si>
    <t>Av. Monteiro Lobato, 3411</t>
  </si>
  <si>
    <t>Vila São Roque</t>
  </si>
  <si>
    <t xml:space="preserve">(11) 2464-8188 </t>
  </si>
  <si>
    <t>ABB (Osasco)</t>
  </si>
  <si>
    <t>Osasco</t>
  </si>
  <si>
    <t xml:space="preserve">Av. dos Autonomistas, 1496 </t>
  </si>
  <si>
    <t>Industrial Autonomistas</t>
  </si>
  <si>
    <t>-</t>
  </si>
  <si>
    <t xml:space="preserve">(11) 3688-9111 </t>
  </si>
  <si>
    <t xml:space="preserve">Acrilex </t>
  </si>
  <si>
    <t>São Bernardo do Campo</t>
  </si>
  <si>
    <t>Est Galvao Bueno, 5000</t>
  </si>
  <si>
    <t>Batistine</t>
  </si>
  <si>
    <t>Anglo American</t>
  </si>
  <si>
    <t>Cubatão</t>
  </si>
  <si>
    <t>Rod. Dom Domênico Rangoni km 264,2</t>
  </si>
  <si>
    <t>Vila Elizabeth</t>
  </si>
  <si>
    <t>(13) 3372-5255</t>
  </si>
  <si>
    <t>Arvin Meritor</t>
  </si>
  <si>
    <t>Av. João Batista, 825</t>
  </si>
  <si>
    <t>Centro</t>
  </si>
  <si>
    <t>(11) 3699-4375</t>
  </si>
  <si>
    <t>Avon</t>
  </si>
  <si>
    <t>São Paulo</t>
  </si>
  <si>
    <t>Av. Interlagos, 4300</t>
  </si>
  <si>
    <t>Interlagos</t>
  </si>
  <si>
    <t>(11) 5546-6135</t>
  </si>
  <si>
    <t>Akzo Nobel</t>
  </si>
  <si>
    <t xml:space="preserve"> Mauá</t>
  </si>
  <si>
    <t>Av. Papa João XXIII, 2100</t>
  </si>
  <si>
    <t>Lot. Industrial Coral</t>
  </si>
  <si>
    <t>Bauducco</t>
  </si>
  <si>
    <t xml:space="preserve">R. Carlo Bauduco, 200 </t>
  </si>
  <si>
    <t>Vila Paraiso</t>
  </si>
  <si>
    <t>Anderson Silva</t>
  </si>
  <si>
    <t>Eng. de Automação</t>
  </si>
  <si>
    <t>asilva.br@inoxpa.com</t>
  </si>
  <si>
    <t>(11) 97443-8615</t>
  </si>
  <si>
    <t>Baxter Hospitalar</t>
  </si>
  <si>
    <t xml:space="preserve">São Paulo </t>
  </si>
  <si>
    <t>Av. Eng. Eusébio Stevaux, 2555</t>
  </si>
  <si>
    <t>Jurubatuba</t>
  </si>
  <si>
    <t>Baxter</t>
  </si>
  <si>
    <t>Paulo Cunha</t>
  </si>
  <si>
    <t>Eng. de Manutenção</t>
  </si>
  <si>
    <t>paulo_cunha@baxter.com</t>
  </si>
  <si>
    <t>(11) 98542-2645</t>
  </si>
  <si>
    <t>Bayer (Vila Socorro)</t>
  </si>
  <si>
    <t>Rua Alexandre Gusmão, s/n</t>
  </si>
  <si>
    <t>Vila Socorro</t>
  </si>
  <si>
    <t>Lino Teruo</t>
  </si>
  <si>
    <t>lino.teruo@bayer.com</t>
  </si>
  <si>
    <t>(11) 97969-1569</t>
  </si>
  <si>
    <t>Braskem (PE7)</t>
  </si>
  <si>
    <t>Santo André</t>
  </si>
  <si>
    <t>Av. Presidente Costa e Silva, 400</t>
  </si>
  <si>
    <t>Parque Capuava</t>
  </si>
  <si>
    <t>José Ensinas Júnior</t>
  </si>
  <si>
    <t>jose.ensinas@braskem.com</t>
  </si>
  <si>
    <t>(11) 4478-4064</t>
  </si>
  <si>
    <t>Braskem (PE8)</t>
  </si>
  <si>
    <t>Rod. Cônego Domenico Rangoni Km 266</t>
  </si>
  <si>
    <t xml:space="preserve">Pista Oeste </t>
  </si>
  <si>
    <t xml:space="preserve">Flavio M. R. Issa  </t>
  </si>
  <si>
    <t>flavio.issa@braskem.com</t>
  </si>
  <si>
    <t>(13) 3362-9007</t>
  </si>
  <si>
    <t>Braskem (PP3)</t>
  </si>
  <si>
    <t>Paulinia</t>
  </si>
  <si>
    <t xml:space="preserve">Av. Wagner Samara, 1280 </t>
  </si>
  <si>
    <t xml:space="preserve">Bairro Cascata </t>
  </si>
  <si>
    <t>Fabiana Lanzillotta Grosso</t>
  </si>
  <si>
    <t>fabiana.lanzillotta@braskem.com</t>
  </si>
  <si>
    <t>(19) 3344-6700</t>
  </si>
  <si>
    <t>Braskem (PP4)</t>
  </si>
  <si>
    <t>Mauá</t>
  </si>
  <si>
    <t>Av. Ayrton Senna da Silva, 2700</t>
  </si>
  <si>
    <t>Santa Cecília</t>
  </si>
  <si>
    <t>Flávio E. R. Monteiro</t>
  </si>
  <si>
    <t>flavio.monteiro@braskem.com</t>
  </si>
  <si>
    <t>(11) 3583-2264</t>
  </si>
  <si>
    <t>Braskem (PP5)</t>
  </si>
  <si>
    <t>Duque de Caxias</t>
  </si>
  <si>
    <t>RJ</t>
  </si>
  <si>
    <t>Rua Marumbi, 1400</t>
  </si>
  <si>
    <t>Campos Eliseos</t>
  </si>
  <si>
    <t>Bruno M. Godinho</t>
  </si>
  <si>
    <t>bruno.godinho@braskem.com</t>
  </si>
  <si>
    <t>(11) 99515-5416</t>
  </si>
  <si>
    <t>Braskem (UNIB 3 CK)</t>
  </si>
  <si>
    <t>Av. Presidente Costa e Silva, 1178</t>
  </si>
  <si>
    <t>Rogério Maesi</t>
  </si>
  <si>
    <t>rogerio.maesi@braskem.com</t>
  </si>
  <si>
    <t>(11) 4478-1936</t>
  </si>
  <si>
    <t>Braskem (UNIB 3 IN)</t>
  </si>
  <si>
    <t>Rua da União, 765</t>
  </si>
  <si>
    <t>Jardim Sonia Maria</t>
  </si>
  <si>
    <t>Edvaldo Luiz Spigosso</t>
  </si>
  <si>
    <t>edvaldo.spigosso@braskem.com</t>
  </si>
  <si>
    <t>(11) 4977-2070</t>
  </si>
  <si>
    <t>Cabot</t>
  </si>
  <si>
    <t>Av. das Indústrias, 135</t>
  </si>
  <si>
    <t>Capuava</t>
  </si>
  <si>
    <t>(11) 4549-1322</t>
  </si>
  <si>
    <t>Cargill</t>
  </si>
  <si>
    <t>Mairinque</t>
  </si>
  <si>
    <t xml:space="preserve">Av. Cargill </t>
  </si>
  <si>
    <t xml:space="preserve">Horto Florestal </t>
  </si>
  <si>
    <t>(11) 4718-8153</t>
  </si>
  <si>
    <t>CBE</t>
  </si>
  <si>
    <t xml:space="preserve">São José dos Campos </t>
  </si>
  <si>
    <t>Rua Carlos Marcodes, 100</t>
  </si>
  <si>
    <t>Limoeiro</t>
  </si>
  <si>
    <t>(12) 3203-5771</t>
  </si>
  <si>
    <t>CBMM</t>
  </si>
  <si>
    <t>Araxá</t>
  </si>
  <si>
    <t>MG</t>
  </si>
  <si>
    <t>Córrego da Mata, s/n (Caixa Postal 08)</t>
  </si>
  <si>
    <t>Hugo Silva de Aguiar</t>
  </si>
  <si>
    <t>hugo.silva@cbmm.com.br</t>
  </si>
  <si>
    <t>(34) 3669-3540</t>
  </si>
  <si>
    <t>Chevron</t>
  </si>
  <si>
    <t>Av. Ayrton Senna da Silva, 2500</t>
  </si>
  <si>
    <t>Haroldo de Souza Teixeira</t>
  </si>
  <si>
    <t>haroldo.teixeira@chevron.com</t>
  </si>
  <si>
    <t>(11) 4478-1266</t>
  </si>
  <si>
    <t>Citrovita</t>
  </si>
  <si>
    <t xml:space="preserve">Araras </t>
  </si>
  <si>
    <t>Rod. SP-191 Km 51,5 Rural</t>
  </si>
  <si>
    <t>Rural</t>
  </si>
  <si>
    <t>(19) 3321-6000</t>
  </si>
  <si>
    <t>Clariant</t>
  </si>
  <si>
    <t xml:space="preserve">Suzano </t>
  </si>
  <si>
    <t>Av. Jorge Bei Maluf, 2163</t>
  </si>
  <si>
    <t>Vila Theodoro</t>
  </si>
  <si>
    <t>(11) 4745-8772</t>
  </si>
  <si>
    <t>Clarios</t>
  </si>
  <si>
    <t xml:space="preserve">Sorocaba </t>
  </si>
  <si>
    <t>Av. Independencia, 2757</t>
  </si>
  <si>
    <t>Éden</t>
  </si>
  <si>
    <t>Anderson Rodrigues</t>
  </si>
  <si>
    <t>anderson.rodrigues@clarios.com</t>
  </si>
  <si>
    <t>(15) 98138-3171</t>
  </si>
  <si>
    <t>Clinica Proemp (Mauá)</t>
  </si>
  <si>
    <t>Rua Manoel Pedro Jr, 65</t>
  </si>
  <si>
    <t>(11) 3410-4400</t>
  </si>
  <si>
    <t>Clinica Proemp (SBC)</t>
  </si>
  <si>
    <t>Rua Mediterrâneo, 430</t>
  </si>
  <si>
    <t>Jardim do Mar</t>
  </si>
  <si>
    <t>(11) 4332-3000</t>
  </si>
  <si>
    <t>Colgate</t>
  </si>
  <si>
    <t>R. Santo Eurilo, 195</t>
  </si>
  <si>
    <t>Jaguaré</t>
  </si>
  <si>
    <t>Coopercaixa</t>
  </si>
  <si>
    <t>Itaquaquecetuba</t>
  </si>
  <si>
    <t>Estrada do Mandi, 50</t>
  </si>
  <si>
    <t>Campo da Venda</t>
  </si>
  <si>
    <t>(11) 4644-1190</t>
  </si>
  <si>
    <t>CSN</t>
  </si>
  <si>
    <t xml:space="preserve">Volta Redonda </t>
  </si>
  <si>
    <t>Rod. Lucio Meira (BR-363), Km 05</t>
  </si>
  <si>
    <t>Vila Santa Cecília</t>
  </si>
  <si>
    <t>(24) 3343-3990</t>
  </si>
  <si>
    <t>DAEVI (Peroxídos)</t>
  </si>
  <si>
    <t xml:space="preserve">Valinhos </t>
  </si>
  <si>
    <t xml:space="preserve">Rod. Flávio de Carvalho, 2870 </t>
  </si>
  <si>
    <t>Jd. Sao Paulo</t>
  </si>
  <si>
    <t>DECA (Água Branca - SP)</t>
  </si>
  <si>
    <t>Água Branca</t>
  </si>
  <si>
    <t>Rua Comendador Sousa, 57</t>
  </si>
  <si>
    <t>Anderson José da Silva</t>
  </si>
  <si>
    <t>Sup. Manutenção</t>
  </si>
  <si>
    <t>anderson.jose@duratex.com.br</t>
  </si>
  <si>
    <t>(11) 3874-1794</t>
  </si>
  <si>
    <t>DECA (Queimados - RJ)</t>
  </si>
  <si>
    <t xml:space="preserve">Queimados </t>
  </si>
  <si>
    <t>Distrito Industrial de Queimados</t>
  </si>
  <si>
    <t>Distrito Industrial</t>
  </si>
  <si>
    <t>Leonardo Crociati</t>
  </si>
  <si>
    <t>leonardo.moreira@duratex.com.br</t>
  </si>
  <si>
    <t>(15) 3275-6219</t>
  </si>
  <si>
    <t>Duratex (Agudos - SP)</t>
  </si>
  <si>
    <t xml:space="preserve">Agudos </t>
  </si>
  <si>
    <t>Rod. Marechal Rondon Km 323</t>
  </si>
  <si>
    <t>Zona Rural</t>
  </si>
  <si>
    <t>Duratex (Botucatu - SP)</t>
  </si>
  <si>
    <t>Botucatu</t>
  </si>
  <si>
    <t>Estrada de Itatinga, Km 12</t>
  </si>
  <si>
    <t>Fazenda Santa Luzia</t>
  </si>
  <si>
    <t>José Simões Neto</t>
  </si>
  <si>
    <t>jose.simoes@duratex.com.br</t>
  </si>
  <si>
    <t>(14) 3811-2227</t>
  </si>
  <si>
    <t>Duratex (Itapetininga - SP)</t>
  </si>
  <si>
    <t xml:space="preserve">Itapetininga </t>
  </si>
  <si>
    <t>Rod. Raposo Tavares, Km 172,1</t>
  </si>
  <si>
    <t>Marabá</t>
  </si>
  <si>
    <t>Eirich</t>
  </si>
  <si>
    <t xml:space="preserve">Jandira  </t>
  </si>
  <si>
    <t xml:space="preserve"> Estrada Velha de Itu, 1500</t>
  </si>
  <si>
    <t>Jardim Alvorada</t>
  </si>
  <si>
    <t>Fábio Nunes</t>
  </si>
  <si>
    <t>Engenharia Elétrica</t>
  </si>
  <si>
    <t>fabio.nunes@eirich.com.br</t>
  </si>
  <si>
    <t>(11) 4619-8914</t>
  </si>
  <si>
    <t>Eurofarma</t>
  </si>
  <si>
    <t>Itapevi</t>
  </si>
  <si>
    <t>Rod. Pres. Castello Branco, 3565</t>
  </si>
  <si>
    <t>Itaqui</t>
  </si>
  <si>
    <t>Guilherme Chida</t>
  </si>
  <si>
    <t>Gelita do Brasil</t>
  </si>
  <si>
    <t xml:space="preserve">Cotia </t>
  </si>
  <si>
    <t>Rua Philip Leiner, 200</t>
  </si>
  <si>
    <t xml:space="preserve"> Parque Alexandre</t>
  </si>
  <si>
    <t>Victor Ramon</t>
  </si>
  <si>
    <t>victor.ramon@gelita.com</t>
  </si>
  <si>
    <t>(44) 99111-7101</t>
  </si>
  <si>
    <t xml:space="preserve">Maringá </t>
  </si>
  <si>
    <t>PR</t>
  </si>
  <si>
    <t>Rod Pr-317 (Saida Para Iguaracu), Km 85</t>
  </si>
  <si>
    <t>Parque Industrial 200</t>
  </si>
  <si>
    <t>Kleber Martins</t>
  </si>
  <si>
    <t>kleber.martins@gelita.com</t>
  </si>
  <si>
    <t>(44) 4009-5589</t>
  </si>
  <si>
    <t>Mococa</t>
  </si>
  <si>
    <t>Av. Tiradentes, s/n</t>
  </si>
  <si>
    <t>Jardim Santa Cecilia</t>
  </si>
  <si>
    <t>Lucas Mizota</t>
  </si>
  <si>
    <t>lucas.mizota@gelita.com</t>
  </si>
  <si>
    <t>(44) 4009-5603</t>
  </si>
  <si>
    <t>Gerdau</t>
  </si>
  <si>
    <t xml:space="preserve">Divinopolis </t>
  </si>
  <si>
    <t>Av. Gabriel Passos,102</t>
  </si>
  <si>
    <t>Porto Velho</t>
  </si>
  <si>
    <t>(37) 3229-1500</t>
  </si>
  <si>
    <t>GM Mogi</t>
  </si>
  <si>
    <t xml:space="preserve">Mogi das Cruzes </t>
  </si>
  <si>
    <t>Av General Motors, 1999</t>
  </si>
  <si>
    <t>Taboao</t>
  </si>
  <si>
    <t>Marcelo Gianetti de Jesus</t>
  </si>
  <si>
    <t>marcelo.dejesus@gm.com</t>
  </si>
  <si>
    <t>(11) 4239-6285</t>
  </si>
  <si>
    <t>GM Polimeros</t>
  </si>
  <si>
    <t>São Caetano do Sul</t>
  </si>
  <si>
    <t>Av Prosperidade, 774</t>
  </si>
  <si>
    <t>Prosperidade</t>
  </si>
  <si>
    <t>Jonathan Muñoz Segura</t>
  </si>
  <si>
    <t>jonathan.munoz@gm.com</t>
  </si>
  <si>
    <t>(11) 4239-2285</t>
  </si>
  <si>
    <t>GM São Caetano</t>
  </si>
  <si>
    <t>Av Goias</t>
  </si>
  <si>
    <t>Santo Antônio</t>
  </si>
  <si>
    <t>GM São José</t>
  </si>
  <si>
    <t>Av. General Motors, 1959</t>
  </si>
  <si>
    <t>Jardim Motorama</t>
  </si>
  <si>
    <t>Hydraforce</t>
  </si>
  <si>
    <t>Taboão da Serra</t>
  </si>
  <si>
    <t xml:space="preserve"> Av. Laurita Ortega Mari, 499 </t>
  </si>
  <si>
    <t xml:space="preserve">Parque Industrial das Oliveiras </t>
  </si>
  <si>
    <t>Houghton</t>
  </si>
  <si>
    <t>Rua Alpont, 394</t>
  </si>
  <si>
    <t>Houghton RJ</t>
  </si>
  <si>
    <t>Campo Grande</t>
  </si>
  <si>
    <t>Avenida Brasil, 44178</t>
  </si>
  <si>
    <t>ICE Cartões Especiais</t>
  </si>
  <si>
    <t>Av. Jorn Paulo Zingg, 560</t>
  </si>
  <si>
    <t>Jardim Jaraguá</t>
  </si>
  <si>
    <t>(11) 3904-8102</t>
  </si>
  <si>
    <t>Inoxpa</t>
  </si>
  <si>
    <t>R. Tita Coelho,44</t>
  </si>
  <si>
    <t>Bairro Assunção</t>
  </si>
  <si>
    <t>Invicta</t>
  </si>
  <si>
    <t xml:space="preserve">Pouso Alegre </t>
  </si>
  <si>
    <t>Al Manoel Antonio Sobral, 701</t>
  </si>
  <si>
    <t>Antonio Marcos de Moura</t>
  </si>
  <si>
    <t>Supervisor de Manutenção</t>
  </si>
  <si>
    <t>antonio.silva@coleman.com</t>
  </si>
  <si>
    <t>(35) 99191-6334</t>
  </si>
  <si>
    <t>Libbs</t>
  </si>
  <si>
    <t>Embu das Artes</t>
  </si>
  <si>
    <t>ua Alberto Correia Francfort, 88</t>
  </si>
  <si>
    <t>Jardim Vista Alegre</t>
  </si>
  <si>
    <t>Louis Dreyfus Company</t>
  </si>
  <si>
    <t>Matão</t>
  </si>
  <si>
    <t>Estrada da Fazenda, 6000</t>
  </si>
  <si>
    <t>Boa Vista</t>
  </si>
  <si>
    <t>Marcos Rolon</t>
  </si>
  <si>
    <t>marcos@attc.com.br</t>
  </si>
  <si>
    <t>(11) 97214-0988</t>
  </si>
  <si>
    <t>Lubrizol (Regren)</t>
  </si>
  <si>
    <t>Rua Sebastião Cardoso, 574</t>
  </si>
  <si>
    <t>Okinawa</t>
  </si>
  <si>
    <t>Reginaldo Sipan</t>
  </si>
  <si>
    <t>reginaldo.sipan@regren.com.br</t>
  </si>
  <si>
    <t>(11) 98776-8614</t>
  </si>
  <si>
    <t>Mac Jee</t>
  </si>
  <si>
    <t>Paraíbuna</t>
  </si>
  <si>
    <t>M&amp;G</t>
  </si>
  <si>
    <t xml:space="preserve">Poços de Calda </t>
  </si>
  <si>
    <t>Av. Celanese, 3000</t>
  </si>
  <si>
    <t>Bortolan</t>
  </si>
  <si>
    <t>(35) 3714-1124</t>
  </si>
  <si>
    <t>Mercedes-Benz MG</t>
  </si>
  <si>
    <t>Juíz de Fora</t>
  </si>
  <si>
    <t xml:space="preserve">Rod. Pres. Juscelino Kubitschek </t>
  </si>
  <si>
    <t>Juiz de Fora</t>
  </si>
  <si>
    <t>Mercedes-Benz</t>
  </si>
  <si>
    <t>Rua Alfred Jurzykowski 562</t>
  </si>
  <si>
    <t>Pauliceia</t>
  </si>
  <si>
    <t>Luiz Marcelo</t>
  </si>
  <si>
    <t>luiz.marcelo@daimler.com</t>
  </si>
  <si>
    <t>(11) 4173-7961</t>
  </si>
  <si>
    <t>Mosaic</t>
  </si>
  <si>
    <t xml:space="preserve">Uberaba </t>
  </si>
  <si>
    <t xml:space="preserve">Estrada da Cana, 750 </t>
  </si>
  <si>
    <t>Distrito Industrial III</t>
  </si>
  <si>
    <t>Monin</t>
  </si>
  <si>
    <t>Itu</t>
  </si>
  <si>
    <t>Rodovia Marechal Rondon, SP-300, S/N - KM 114,5</t>
  </si>
  <si>
    <t>Itaim</t>
  </si>
  <si>
    <t>Monsanto</t>
  </si>
  <si>
    <t>Rua Carlos Marcondes, 1200</t>
  </si>
  <si>
    <t xml:space="preserve">Limoeiro </t>
  </si>
  <si>
    <t>(12) 2134-7543</t>
  </si>
  <si>
    <t>Murta</t>
  </si>
  <si>
    <t>Rua Fernando Nobre , 600</t>
  </si>
  <si>
    <t>Prq Rincão</t>
  </si>
  <si>
    <t>(11) 4613-2777</t>
  </si>
  <si>
    <t>Níquel</t>
  </si>
  <si>
    <t xml:space="preserve">Av. Dr. José Arthur Nova, 1309 </t>
  </si>
  <si>
    <t xml:space="preserve">São Miguel </t>
  </si>
  <si>
    <t>(11) 3488-8600</t>
  </si>
  <si>
    <t>Nitro Química</t>
  </si>
  <si>
    <t xml:space="preserve">Av. Dr. José Arthur Nova, 951 </t>
  </si>
  <si>
    <t>Cristian Silva</t>
  </si>
  <si>
    <t>cristian.silva@nitroquimica.com.br</t>
  </si>
  <si>
    <t>(35)99906-8239</t>
  </si>
  <si>
    <t>Nitro Química Várzea</t>
  </si>
  <si>
    <t>Várzea Paulista</t>
  </si>
  <si>
    <t>Av. Adail Eduardo Gut, 2800</t>
  </si>
  <si>
    <t>Sitio do Mursa</t>
  </si>
  <si>
    <t>Jean Borges</t>
  </si>
  <si>
    <t>Jean.Borges@nitro.com.br</t>
  </si>
  <si>
    <t>(11)99180-4501</t>
  </si>
  <si>
    <t>OMS Brasil Máquinas e Equipamentos</t>
  </si>
  <si>
    <t>Mogi Mirim</t>
  </si>
  <si>
    <t>Av. Juscelino Kubitschek de Oliveira, 1756</t>
  </si>
  <si>
    <t>Rafael Chiarelli</t>
  </si>
  <si>
    <t>Gerente Produção</t>
  </si>
  <si>
    <t>producao@omsbr.com.br</t>
  </si>
  <si>
    <t>(19) 3862-2737</t>
  </si>
  <si>
    <t>Oxiteno</t>
  </si>
  <si>
    <t xml:space="preserve">Santo André </t>
  </si>
  <si>
    <t xml:space="preserve">Av. Brigadeiro Luís Antônio 1343 </t>
  </si>
  <si>
    <t>Bela Vista</t>
  </si>
  <si>
    <t>(11) 3177-6323</t>
  </si>
  <si>
    <t>Pall do Brasil</t>
  </si>
  <si>
    <t>Diadema</t>
  </si>
  <si>
    <t>Avenida Luigi Papaiz, 239</t>
  </si>
  <si>
    <t>Campanario</t>
  </si>
  <si>
    <t>Robert Moreira</t>
  </si>
  <si>
    <t>robert.moreira@pall.com</t>
  </si>
  <si>
    <t>Pandurata</t>
  </si>
  <si>
    <t>Plascar</t>
  </si>
  <si>
    <t>Caçapava</t>
  </si>
  <si>
    <t>R. Vereador Geraldo Nogueira da Silva S/N</t>
  </si>
  <si>
    <t>Santa Luzia</t>
  </si>
  <si>
    <t>maikon.macedo@plascargroup.com</t>
  </si>
  <si>
    <t>(31) 3211-6421</t>
  </si>
  <si>
    <t>Pepsico</t>
  </si>
  <si>
    <t xml:space="preserve">Guarulhos </t>
  </si>
  <si>
    <t>Rod. Presidente Dutra, Km 219</t>
  </si>
  <si>
    <t>Pimentas</t>
  </si>
  <si>
    <t>(11) 2464-2400</t>
  </si>
  <si>
    <t>Perfitec</t>
  </si>
  <si>
    <t xml:space="preserve">São Bernardo do Campo </t>
  </si>
  <si>
    <t xml:space="preserve">Av Capitão Casa 1214 </t>
  </si>
  <si>
    <t>Bairro dos Casas</t>
  </si>
  <si>
    <t>Pertech do Brasil</t>
  </si>
  <si>
    <t xml:space="preserve">Av. Piraporinha, 852 </t>
  </si>
  <si>
    <t>Planalto</t>
  </si>
  <si>
    <t>Petrobrás - Replan</t>
  </si>
  <si>
    <t xml:space="preserve">Paulinia </t>
  </si>
  <si>
    <t>Rod. Sp 332, Km 132</t>
  </si>
  <si>
    <t>(19) 2116-7000</t>
  </si>
  <si>
    <t>Pirelli</t>
  </si>
  <si>
    <t xml:space="preserve">Av. Capuava, 603 </t>
  </si>
  <si>
    <t>Homero Thon</t>
  </si>
  <si>
    <t>0800 728 7638</t>
  </si>
  <si>
    <t xml:space="preserve">Campinas </t>
  </si>
  <si>
    <t>Av. John Boyd Dunlop, 6800</t>
  </si>
  <si>
    <t>Dario Galzerani</t>
  </si>
  <si>
    <t>dario.galzerani@pirelli.com</t>
  </si>
  <si>
    <t>(19) 9812-0826</t>
  </si>
  <si>
    <t>Av. Itavuvu, 14147</t>
  </si>
  <si>
    <t>Sergio Batista</t>
  </si>
  <si>
    <t>Manutenção</t>
  </si>
  <si>
    <t>sergioaparecido.santos@pirelli.com</t>
  </si>
  <si>
    <t>(15) 99645-2259</t>
  </si>
  <si>
    <t>Quaker Houghton</t>
  </si>
  <si>
    <t xml:space="preserve">Mauá </t>
  </si>
  <si>
    <t>R. Alpont, 394</t>
  </si>
  <si>
    <t>Quicke Brasil</t>
  </si>
  <si>
    <t>Guaranésia</t>
  </si>
  <si>
    <t>Rodovia BR 491 - KM 70</t>
  </si>
  <si>
    <t xml:space="preserve">Distrito Industrial II </t>
  </si>
  <si>
    <t>Rodrigo Silva</t>
  </si>
  <si>
    <t>rodrigo.silva@falcare</t>
  </si>
  <si>
    <t>(11)97333-3917</t>
  </si>
  <si>
    <t xml:space="preserve">Regren </t>
  </si>
  <si>
    <t>Estr. de Santa Isabel, 7072</t>
  </si>
  <si>
    <t>Jardim Itapua</t>
  </si>
  <si>
    <t>Renault</t>
  </si>
  <si>
    <t>São José dos Pinhais</t>
  </si>
  <si>
    <t>Av. Renault, 1300</t>
  </si>
  <si>
    <t>Borda do Campo</t>
  </si>
  <si>
    <t>Rhodia (IQB)</t>
  </si>
  <si>
    <t>Lençois Paulista</t>
  </si>
  <si>
    <t>Rod. Juliano Lorenzetti, s/n</t>
  </si>
  <si>
    <t>Industrial Automation</t>
  </si>
  <si>
    <t>Rockwell</t>
  </si>
  <si>
    <t>Av. Prof. Luciano Gualberto , 158</t>
  </si>
  <si>
    <t xml:space="preserve">Butantã USP </t>
  </si>
  <si>
    <t>(11) 3037-7536</t>
  </si>
  <si>
    <t xml:space="preserve">Saint-Gobain </t>
  </si>
  <si>
    <t>Rua Rui Barbosa, 346</t>
  </si>
  <si>
    <t>Alessandro S. Silva</t>
  </si>
  <si>
    <t>Projetos</t>
  </si>
  <si>
    <t>alessandro.silva@saint-gobain.com</t>
  </si>
  <si>
    <t>(11) 96652-7454</t>
  </si>
  <si>
    <t>SANASA - Inhunas</t>
  </si>
  <si>
    <t>Campinas</t>
  </si>
  <si>
    <t>SANASA - Souzas</t>
  </si>
  <si>
    <t>Santa Efigênia</t>
  </si>
  <si>
    <t>Rua Santa Efigênia</t>
  </si>
  <si>
    <t>Scania</t>
  </si>
  <si>
    <t>Av. José Odorizzi, 151</t>
  </si>
  <si>
    <t>Vila Euro</t>
  </si>
  <si>
    <t>José Carlos dos Santos</t>
  </si>
  <si>
    <t>josecarlos.santos@scania.com</t>
  </si>
  <si>
    <t>(11) 4344-9023</t>
  </si>
  <si>
    <t>Siemens</t>
  </si>
  <si>
    <t xml:space="preserve">Anhanguera </t>
  </si>
  <si>
    <t>Rua Werner Siemens, 111</t>
  </si>
  <si>
    <t xml:space="preserve"> Lapa de Baixo</t>
  </si>
  <si>
    <t>(11) 3833-4511</t>
  </si>
  <si>
    <t>Soft Brasil</t>
  </si>
  <si>
    <t>(11) 4458-3926</t>
  </si>
  <si>
    <t>Solvay (Rhodia)</t>
  </si>
  <si>
    <t>Itatiba</t>
  </si>
  <si>
    <t>Av. Caetano de Abreu, 55</t>
  </si>
  <si>
    <t>Encosta do Sol</t>
  </si>
  <si>
    <t>Jonathan Escaliante</t>
  </si>
  <si>
    <t>jonathan.escaliante@solvay.com</t>
  </si>
  <si>
    <t>(11) 3183-5743</t>
  </si>
  <si>
    <t>Av. dos Estados, 5852</t>
  </si>
  <si>
    <t>(11) 4435-1787</t>
  </si>
  <si>
    <t>Spraying Systems</t>
  </si>
  <si>
    <t xml:space="preserve">Diadema </t>
  </si>
  <si>
    <t>Rua Gal Rondon, 87</t>
  </si>
  <si>
    <t>Vila Marina</t>
  </si>
  <si>
    <t>(11) 4043-4562</t>
  </si>
  <si>
    <t>Stiefel</t>
  </si>
  <si>
    <t>Rua Prof. João Carvalho Salem, 1077</t>
  </si>
  <si>
    <t>Bonsucesso</t>
  </si>
  <si>
    <t>Thiago Miyauti</t>
  </si>
  <si>
    <t>Técnico de Automação</t>
  </si>
  <si>
    <t>thiago.m.miyauti@stiefel.com</t>
  </si>
  <si>
    <t>(11) 2404-8000</t>
  </si>
  <si>
    <t>Tavares</t>
  </si>
  <si>
    <t>Rua Dr. Virgilio do Nascimento, 534</t>
  </si>
  <si>
    <t>Brás</t>
  </si>
  <si>
    <t>(11) 2694-6000</t>
  </si>
  <si>
    <t>Theraskin</t>
  </si>
  <si>
    <t>Marg. Direita Via Anchieta, Km 13,5</t>
  </si>
  <si>
    <t>Rudge Ramos</t>
  </si>
  <si>
    <t>Fabio Lima Ramos</t>
  </si>
  <si>
    <t>fabio.ramos@theraskin.com.br</t>
  </si>
  <si>
    <t>(11) 4362-7839</t>
  </si>
  <si>
    <t>Titan</t>
  </si>
  <si>
    <t>Rua Prazeres, 106</t>
  </si>
  <si>
    <t>Belenzinho</t>
  </si>
  <si>
    <t>(11) 2177-7467</t>
  </si>
  <si>
    <t>UBV</t>
  </si>
  <si>
    <t>Av. Senador Teotônio Vilela, km 30</t>
  </si>
  <si>
    <t>Grajaú</t>
  </si>
  <si>
    <t>(11) 2164-7092</t>
  </si>
  <si>
    <t>União Química (Cancioneira)</t>
  </si>
  <si>
    <t>Rua Cancioneiro de Évora, 255</t>
  </si>
  <si>
    <t>Santo Amaro</t>
  </si>
  <si>
    <t>Leonardo Oliveira</t>
  </si>
  <si>
    <t>leonardo.oliveira1@bayer.com</t>
  </si>
  <si>
    <t>(11) 94512-0120</t>
  </si>
  <si>
    <t>Unipac Embalagens</t>
  </si>
  <si>
    <t>Interlargos</t>
  </si>
  <si>
    <t>Rua Arnaldo Magniccaro, 521</t>
  </si>
  <si>
    <t>Vila Gea</t>
  </si>
  <si>
    <t>Unipar (Carbocloro)</t>
  </si>
  <si>
    <t>Rodovia Cônego Domênico, s/n</t>
  </si>
  <si>
    <t>Pereque</t>
  </si>
  <si>
    <t>Eng. Automação</t>
  </si>
  <si>
    <t>wanderley.bazani@unipar.com</t>
  </si>
  <si>
    <t>(11) 4439-8239</t>
  </si>
  <si>
    <t>Usinas Siderúrgicas</t>
  </si>
  <si>
    <t>Rodovia Dom Domenico Rangoni, 63000</t>
  </si>
  <si>
    <t>Jardim Das Industrias</t>
  </si>
  <si>
    <t>Julio Cesar Rodrigues</t>
  </si>
  <si>
    <t>julio.rodrigues@usiminas.com.br</t>
  </si>
  <si>
    <t>(13) 99645-0027</t>
  </si>
  <si>
    <t>Valspar</t>
  </si>
  <si>
    <t>Estrada dos casas, 4580</t>
  </si>
  <si>
    <t>Alvarenga</t>
  </si>
  <si>
    <t>(11) 4358-9210</t>
  </si>
  <si>
    <t>VLM Combustão (Heinekein)</t>
  </si>
  <si>
    <t>Ponta Grossa</t>
  </si>
  <si>
    <t>Avenida Tocantins, 199</t>
  </si>
  <si>
    <t>Cara - Cara</t>
  </si>
  <si>
    <t>Valdemir</t>
  </si>
  <si>
    <t>Combustão</t>
  </si>
  <si>
    <t>Villares Metals</t>
  </si>
  <si>
    <t xml:space="preserve">Sumaré </t>
  </si>
  <si>
    <t>Rua Alfredo Dumont Villares, 155</t>
  </si>
  <si>
    <t>Jardim Santa Carolina</t>
  </si>
  <si>
    <t>(19) 3303-8183</t>
  </si>
  <si>
    <t>Vital Lab</t>
  </si>
  <si>
    <t>Bairro Jardim</t>
  </si>
  <si>
    <t>Volkswagen SBC</t>
  </si>
  <si>
    <t>Via Anchieta KM 23,5</t>
  </si>
  <si>
    <t>Demarchi</t>
  </si>
  <si>
    <t>(11) 4347-2355</t>
  </si>
  <si>
    <t>WEST</t>
  </si>
  <si>
    <t>Av. Nossa Senhora das Graças, 115</t>
  </si>
  <si>
    <t>Serraria</t>
  </si>
  <si>
    <t>Wagner Ricardo</t>
  </si>
  <si>
    <t>wagner_ricardo@westpharma.com</t>
  </si>
  <si>
    <t>(11) 4055-6029</t>
  </si>
  <si>
    <t>ZF Sachs</t>
  </si>
  <si>
    <t>Av. Piraporinha, 1000</t>
  </si>
  <si>
    <t>Jordanópolis</t>
  </si>
  <si>
    <t>(11) 3346-3294</t>
  </si>
  <si>
    <t>KM HOTÉIS</t>
  </si>
  <si>
    <t>Origem</t>
  </si>
  <si>
    <t>Hotel Destino</t>
  </si>
  <si>
    <t>Metropole Paulinia</t>
  </si>
  <si>
    <t>Paulínia</t>
  </si>
  <si>
    <t xml:space="preserve">Av. Aristóteles Costa, 490 </t>
  </si>
  <si>
    <t xml:space="preserve">Jardim Fortaleza </t>
  </si>
  <si>
    <t xml:space="preserve">(19) 3933-2752 </t>
  </si>
  <si>
    <t>Bonno Hotel</t>
  </si>
  <si>
    <t xml:space="preserve"> Rua Sebastião Cardoso, 574</t>
  </si>
  <si>
    <t>Parque Brasil</t>
  </si>
  <si>
    <t>(19) 3888-2545</t>
  </si>
  <si>
    <t>São Roque Park Hotel</t>
  </si>
  <si>
    <t xml:space="preserve">Mairinque </t>
  </si>
  <si>
    <t>Av. Antônino Dias Bastos, 318</t>
  </si>
  <si>
    <t>(11) 4712-3121</t>
  </si>
  <si>
    <t>Hotel Araçari</t>
  </si>
  <si>
    <t>Araçariguama</t>
  </si>
  <si>
    <t>R. São João, 243</t>
  </si>
  <si>
    <t>(11) 4204-4133</t>
  </si>
  <si>
    <t>Hotel Rafenna</t>
  </si>
  <si>
    <t>R. Estados Unidos, 620 </t>
  </si>
  <si>
    <t>Jardim Lavinia</t>
  </si>
  <si>
    <t>(19) 3665-4610</t>
  </si>
  <si>
    <t>Maria de Lourdes de Souza Maldonado</t>
  </si>
  <si>
    <t>R. Costa Rica, 58</t>
  </si>
  <si>
    <t>(19) 98808-8234</t>
  </si>
  <si>
    <t xml:space="preserve">Lubrizol </t>
  </si>
  <si>
    <t>Nobile Inn Dutra Rio de Janeiro</t>
  </si>
  <si>
    <t xml:space="preserve">São João de Meriti </t>
  </si>
  <si>
    <t xml:space="preserve">R. Sen. Nereu Ramos, 238 </t>
  </si>
  <si>
    <t>Jardim Meriti</t>
  </si>
  <si>
    <t>(21) 3512-1946</t>
  </si>
  <si>
    <t>Hotel Avenida</t>
  </si>
  <si>
    <t>Rod. Pres. Dutra, 4013</t>
  </si>
  <si>
    <t>Jardim Jose Bonifacio</t>
  </si>
  <si>
    <t>(21) 2756-1228</t>
  </si>
  <si>
    <t>Mercedes - Benz</t>
  </si>
  <si>
    <t>Pousada Aconchego</t>
  </si>
  <si>
    <t>Novo Horizonte</t>
  </si>
  <si>
    <t xml:space="preserve">R. Dr. Décio Guanabarino, 1 </t>
  </si>
  <si>
    <t>(32) 3233-1305</t>
  </si>
  <si>
    <t>Mosaic Co</t>
  </si>
  <si>
    <t>Havana Palace II</t>
  </si>
  <si>
    <t>Uberaba</t>
  </si>
  <si>
    <t>Av. Barão do Rio Branco, 338</t>
  </si>
  <si>
    <t>São Benedito</t>
  </si>
  <si>
    <t>(34) 3316-9900</t>
  </si>
  <si>
    <t>Hotel Itu Shopping</t>
  </si>
  <si>
    <t xml:space="preserve">R. Santa Rita, 714 </t>
  </si>
  <si>
    <t>(11) 98447-0347</t>
  </si>
  <si>
    <t>Hotel Esplanada</t>
  </si>
  <si>
    <t xml:space="preserve"> Campinas </t>
  </si>
  <si>
    <t>R. Onze de Agosto, 660</t>
  </si>
  <si>
    <t>(19) 99983-3215</t>
  </si>
  <si>
    <t>Hotel Carlton Plaza</t>
  </si>
  <si>
    <t>Vila Piratininga</t>
  </si>
  <si>
    <t>R. Pres. Bernardes, 73</t>
  </si>
  <si>
    <t>São José dos Campos</t>
  </si>
  <si>
    <t> (12) 3947-7666</t>
  </si>
  <si>
    <t xml:space="preserve">Plascar </t>
  </si>
  <si>
    <t>Blanco Palace Hotel</t>
  </si>
  <si>
    <t>Vista Verde</t>
  </si>
  <si>
    <t>Av. Pedro Friggi, 401</t>
  </si>
  <si>
    <t>(12) 3929-3307</t>
  </si>
  <si>
    <t xml:space="preserve">PSA </t>
  </si>
  <si>
    <t>Pousada Vip</t>
  </si>
  <si>
    <t>Porto Real</t>
  </si>
  <si>
    <t>Av. Paschoina Lanconi Tavernari, 509</t>
  </si>
  <si>
    <t xml:space="preserve"> (24) 3353-1666</t>
  </si>
  <si>
    <t>Cegil Hotel Boulevard</t>
  </si>
  <si>
    <t>Resende</t>
  </si>
  <si>
    <t>Av. Dr. Jéfferson G. Bruno, 1580</t>
  </si>
  <si>
    <t>Paraíso</t>
  </si>
  <si>
    <t xml:space="preserve"> (24) 3381-1900</t>
  </si>
  <si>
    <t>Rhodia</t>
  </si>
  <si>
    <t>Saint James Palace Hotel</t>
  </si>
  <si>
    <t>R. Pedro Natálio Lorenzeti, 115</t>
  </si>
  <si>
    <t>(14) 3263-6758</t>
  </si>
  <si>
    <t>Sanasa</t>
  </si>
  <si>
    <t>Mariano Palace Hotel</t>
  </si>
  <si>
    <t>R. Saldanha Marinho, 1165</t>
  </si>
  <si>
    <t>Botafogo</t>
  </si>
  <si>
    <t>(19) 2129-8344</t>
  </si>
  <si>
    <t>Hotel Telles</t>
  </si>
  <si>
    <t>Hortolândia</t>
  </si>
  <si>
    <t>R. Antônio Gonzaga dos Santos, 63</t>
  </si>
  <si>
    <t>J. Santa Clara do Lago I</t>
  </si>
  <si>
    <t>(19) 3887-5939</t>
  </si>
  <si>
    <t>Hotel Marfim I</t>
  </si>
  <si>
    <t>Sumaré</t>
  </si>
  <si>
    <t>R. José Maria Barroca, 57</t>
  </si>
  <si>
    <t>(19) 3873-6142</t>
  </si>
  <si>
    <t>Jaguary Hotel Sumaré</t>
  </si>
  <si>
    <t>Rua Luiz José Duarte, 199</t>
  </si>
  <si>
    <t>(19) 3883-8400</t>
  </si>
  <si>
    <t>Alan Ferreira</t>
  </si>
  <si>
    <t>Alisson Oliveira</t>
  </si>
  <si>
    <t>Altino Geraldo</t>
  </si>
  <si>
    <t>Baltazar Costa</t>
  </si>
  <si>
    <t>Deivison Almeida</t>
  </si>
  <si>
    <t>Edson Gomes</t>
  </si>
  <si>
    <t>Felipe Orosco</t>
  </si>
  <si>
    <t>Felipe Paduano</t>
  </si>
  <si>
    <t>Felipe Sasso</t>
  </si>
  <si>
    <t>Gustavo Arruda</t>
  </si>
  <si>
    <t>João Vitor</t>
  </si>
  <si>
    <t>Jonathan Ferronato</t>
  </si>
  <si>
    <t>Juan Gabriel</t>
  </si>
  <si>
    <t>Leandro Garcia</t>
  </si>
  <si>
    <t>Leonardo Ferronato</t>
  </si>
  <si>
    <t>Luiza Guimarães</t>
  </si>
  <si>
    <t>Marcelo Rodrigo</t>
  </si>
  <si>
    <t>Marco Paulo</t>
  </si>
  <si>
    <t>Matheus Henrique</t>
  </si>
  <si>
    <t>Paula Santos</t>
  </si>
  <si>
    <t>Peter Kling</t>
  </si>
  <si>
    <t>Rafael Chaves</t>
  </si>
  <si>
    <t>Vanderlei Rocha</t>
  </si>
  <si>
    <t>Victor Fernando</t>
  </si>
  <si>
    <t xml:space="preserve"> MATEUS MONTEIRO</t>
  </si>
  <si>
    <t xml:space="preserve">Av. Principal, 289   </t>
  </si>
  <si>
    <t>Paranapiacaba</t>
  </si>
  <si>
    <t>Rafael Viegas</t>
  </si>
  <si>
    <t>rafael.viegas@unipar.com</t>
  </si>
  <si>
    <t>(11) 9743-88708</t>
  </si>
  <si>
    <t>Toyo Setal</t>
  </si>
  <si>
    <t>Rodovia Professor Zeferino, s/n</t>
  </si>
  <si>
    <t>Bonfim</t>
  </si>
  <si>
    <t>Anderson Presa</t>
  </si>
  <si>
    <t>anderson.presa@tsebr.com</t>
  </si>
  <si>
    <t>(11) 99680-8025</t>
  </si>
  <si>
    <t>RSC_rev.38</t>
  </si>
  <si>
    <t xml:space="preserve"> JOSÉ MAURO ARANTES</t>
  </si>
  <si>
    <t xml:space="preserve"> GABRIEL MACHADO</t>
  </si>
  <si>
    <t xml:space="preserve"> RODRIGO NOGUERON</t>
  </si>
  <si>
    <t>Unither</t>
  </si>
  <si>
    <t>Butantã</t>
  </si>
  <si>
    <t xml:space="preserve"> Av. Nossa Sra. da Assunção, 736</t>
  </si>
  <si>
    <t>Jardim Butantã</t>
  </si>
  <si>
    <t>igor.vernier@unither.pharma.com</t>
  </si>
  <si>
    <t>Igor Vernier</t>
  </si>
  <si>
    <t>Basf</t>
  </si>
  <si>
    <t xml:space="preserve"> Av. Ângelo Demarchi, 123 </t>
  </si>
  <si>
    <t>Rodrigo Vitale</t>
  </si>
  <si>
    <t>rodrigo.vitale@basf.com</t>
  </si>
  <si>
    <t>(11) 4358-7635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</si>
</sst>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"/>
    <numFmt numFmtId="165" formatCode="h:mm;@"/>
    <numFmt numFmtId="166" formatCode="dd/mm/yy;@"/>
    <numFmt numFmtId="167" formatCode="0;\-0;;@"/>
  </numFmts>
  <fonts count="2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.5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26"/>
      <name val="Arial Black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name val="Lucida Handwriting"/>
      <family val="4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6"/>
      <color theme="3" tint="-0.499984740745262"/>
      <name val="Verdana"/>
      <family val="2"/>
    </font>
    <font>
      <b/>
      <sz val="16"/>
      <name val="Arial"/>
      <family val="2"/>
    </font>
    <font>
      <b/>
      <sz val="16"/>
      <name val="Verdana"/>
      <family val="2"/>
    </font>
    <font>
      <u/>
      <sz val="10"/>
      <color theme="10"/>
      <name val="Arial"/>
      <family val="2"/>
    </font>
    <font>
      <b/>
      <i/>
      <u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2" fillId="0" borderId="0"/>
    <xf numFmtId="0" fontId="23" fillId="0" borderId="0" applyNumberFormat="0" applyFill="0" applyBorder="0" applyAlignment="0" applyProtection="0"/>
  </cellStyleXfs>
  <cellXfs count="289">
    <xf numFmtId="0" fontId="0" fillId="0" borderId="0" xfId="0"/>
    <xf numFmtId="49" fontId="4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49" fontId="3" fillId="0" borderId="1" xfId="0" applyNumberFormat="1" applyFont="1" applyBorder="1"/>
    <xf numFmtId="49" fontId="6" fillId="0" borderId="0" xfId="0" applyNumberFormat="1" applyFont="1"/>
    <xf numFmtId="49" fontId="5" fillId="0" borderId="2" xfId="0" applyNumberFormat="1" applyFont="1" applyBorder="1"/>
    <xf numFmtId="49" fontId="9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49" fontId="10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2" xfId="0" applyNumberFormat="1" applyFont="1" applyBorder="1"/>
    <xf numFmtId="49" fontId="2" fillId="0" borderId="9" xfId="0" applyNumberFormat="1" applyFont="1" applyBorder="1"/>
    <xf numFmtId="0" fontId="2" fillId="0" borderId="0" xfId="2" applyFont="1"/>
    <xf numFmtId="0" fontId="12" fillId="0" borderId="0" xfId="2"/>
    <xf numFmtId="0" fontId="2" fillId="0" borderId="0" xfId="2" applyFont="1" applyAlignment="1">
      <alignment horizontal="center"/>
    </xf>
    <xf numFmtId="49" fontId="3" fillId="0" borderId="2" xfId="0" applyNumberFormat="1" applyFont="1" applyBorder="1"/>
    <xf numFmtId="49" fontId="3" fillId="0" borderId="0" xfId="0" applyNumberFormat="1" applyFont="1" applyAlignment="1">
      <alignment vertical="center"/>
    </xf>
    <xf numFmtId="49" fontId="2" fillId="0" borderId="1" xfId="0" applyNumberFormat="1" applyFont="1" applyBorder="1"/>
    <xf numFmtId="49" fontId="2" fillId="0" borderId="10" xfId="0" applyNumberFormat="1" applyFont="1" applyBorder="1"/>
    <xf numFmtId="49" fontId="2" fillId="0" borderId="11" xfId="0" applyNumberFormat="1" applyFont="1" applyBorder="1"/>
    <xf numFmtId="49" fontId="10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14" fontId="3" fillId="0" borderId="0" xfId="0" applyNumberFormat="1" applyFont="1"/>
    <xf numFmtId="0" fontId="2" fillId="0" borderId="0" xfId="0" applyFont="1"/>
    <xf numFmtId="14" fontId="5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 applyProtection="1">
      <alignment vertical="center"/>
      <protection hidden="1"/>
    </xf>
    <xf numFmtId="0" fontId="0" fillId="0" borderId="10" xfId="0" applyBorder="1" applyProtection="1">
      <protection locked="0"/>
    </xf>
    <xf numFmtId="49" fontId="2" fillId="0" borderId="0" xfId="3" applyNumberFormat="1"/>
    <xf numFmtId="14" fontId="5" fillId="0" borderId="0" xfId="3" applyNumberFormat="1" applyFont="1" applyAlignment="1">
      <alignment horizontal="center" vertical="center"/>
    </xf>
    <xf numFmtId="20" fontId="2" fillId="0" borderId="0" xfId="3" applyNumberFormat="1" applyAlignment="1">
      <alignment horizontal="center" vertical="center"/>
    </xf>
    <xf numFmtId="49" fontId="5" fillId="0" borderId="0" xfId="3" applyNumberFormat="1" applyFont="1"/>
    <xf numFmtId="0" fontId="2" fillId="3" borderId="0" xfId="2" applyFont="1" applyFill="1"/>
    <xf numFmtId="0" fontId="11" fillId="0" borderId="14" xfId="1" applyFill="1" applyBorder="1" applyAlignment="1" applyProtection="1">
      <alignment horizontal="center"/>
    </xf>
    <xf numFmtId="0" fontId="2" fillId="0" borderId="14" xfId="2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" fillId="0" borderId="14" xfId="2" quotePrefix="1" applyFont="1" applyBorder="1" applyAlignment="1">
      <alignment horizontal="center"/>
    </xf>
    <xf numFmtId="20" fontId="2" fillId="0" borderId="14" xfId="2" applyNumberFormat="1" applyFont="1" applyBorder="1" applyAlignment="1">
      <alignment horizontal="center"/>
    </xf>
    <xf numFmtId="165" fontId="2" fillId="0" borderId="15" xfId="2" applyNumberFormat="1" applyFont="1" applyBorder="1" applyAlignment="1">
      <alignment horizontal="center"/>
    </xf>
    <xf numFmtId="20" fontId="2" fillId="0" borderId="14" xfId="2" quotePrefix="1" applyNumberFormat="1" applyFont="1" applyBorder="1" applyAlignment="1">
      <alignment horizontal="center"/>
    </xf>
    <xf numFmtId="0" fontId="2" fillId="0" borderId="20" xfId="2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49" fontId="2" fillId="0" borderId="14" xfId="2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2" fillId="0" borderId="42" xfId="2" applyFont="1" applyBorder="1" applyAlignment="1">
      <alignment horizontal="center"/>
    </xf>
    <xf numFmtId="0" fontId="11" fillId="0" borderId="14" xfId="1" applyBorder="1" applyAlignment="1" applyProtection="1">
      <alignment horizontal="left" vertical="center" wrapText="1" indent="1"/>
    </xf>
    <xf numFmtId="0" fontId="2" fillId="0" borderId="14" xfId="0" applyFont="1" applyBorder="1" applyAlignment="1">
      <alignment horizontal="center"/>
    </xf>
    <xf numFmtId="0" fontId="11" fillId="0" borderId="14" xfId="1" applyBorder="1" applyAlignment="1" applyProtection="1">
      <alignment horizontal="center"/>
    </xf>
    <xf numFmtId="49" fontId="2" fillId="0" borderId="0" xfId="3" applyNumberFormat="1" applyAlignment="1">
      <alignment horizontal="center" vertical="center"/>
    </xf>
    <xf numFmtId="0" fontId="1" fillId="2" borderId="14" xfId="2" applyFont="1" applyFill="1" applyBorder="1" applyAlignment="1">
      <alignment horizontal="center" vertical="center" wrapText="1"/>
    </xf>
    <xf numFmtId="0" fontId="1" fillId="2" borderId="15" xfId="2" applyFont="1" applyFill="1" applyBorder="1" applyAlignment="1">
      <alignment horizontal="center" vertical="center" wrapText="1"/>
    </xf>
    <xf numFmtId="0" fontId="11" fillId="0" borderId="0" xfId="1" applyAlignment="1" applyProtection="1"/>
    <xf numFmtId="0" fontId="11" fillId="0" borderId="14" xfId="1" applyBorder="1" applyAlignment="1" applyProtection="1">
      <alignment horizontal="center" vertical="center" wrapText="1"/>
    </xf>
    <xf numFmtId="49" fontId="6" fillId="0" borderId="0" xfId="0" applyNumberFormat="1" applyFont="1" applyAlignment="1">
      <alignment vertical="center"/>
    </xf>
    <xf numFmtId="0" fontId="2" fillId="0" borderId="6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/>
    <xf numFmtId="49" fontId="17" fillId="0" borderId="0" xfId="0" applyNumberFormat="1" applyFont="1" applyAlignment="1">
      <alignment vertical="center"/>
    </xf>
    <xf numFmtId="0" fontId="2" fillId="0" borderId="12" xfId="0" applyFont="1" applyBorder="1"/>
    <xf numFmtId="0" fontId="2" fillId="0" borderId="1" xfId="0" applyFont="1" applyBorder="1"/>
    <xf numFmtId="0" fontId="2" fillId="0" borderId="13" xfId="0" applyFont="1" applyBorder="1"/>
    <xf numFmtId="0" fontId="2" fillId="4" borderId="16" xfId="2" applyFont="1" applyFill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2" fillId="4" borderId="14" xfId="2" quotePrefix="1" applyFont="1" applyFill="1" applyBorder="1" applyAlignment="1">
      <alignment horizontal="center"/>
    </xf>
    <xf numFmtId="165" fontId="2" fillId="4" borderId="15" xfId="2" applyNumberFormat="1" applyFont="1" applyFill="1" applyBorder="1" applyAlignment="1">
      <alignment horizontal="center"/>
    </xf>
    <xf numFmtId="0" fontId="2" fillId="5" borderId="16" xfId="2" applyFont="1" applyFill="1" applyBorder="1" applyAlignment="1">
      <alignment horizontal="center"/>
    </xf>
    <xf numFmtId="0" fontId="2" fillId="5" borderId="14" xfId="2" applyFont="1" applyFill="1" applyBorder="1" applyAlignment="1">
      <alignment horizontal="center"/>
    </xf>
    <xf numFmtId="0" fontId="2" fillId="5" borderId="14" xfId="2" quotePrefix="1" applyFont="1" applyFill="1" applyBorder="1" applyAlignment="1">
      <alignment horizontal="center"/>
    </xf>
    <xf numFmtId="20" fontId="2" fillId="5" borderId="14" xfId="2" applyNumberFormat="1" applyFont="1" applyFill="1" applyBorder="1" applyAlignment="1">
      <alignment horizontal="center"/>
    </xf>
    <xf numFmtId="165" fontId="2" fillId="5" borderId="15" xfId="2" applyNumberFormat="1" applyFont="1" applyFill="1" applyBorder="1" applyAlignment="1">
      <alignment horizontal="center"/>
    </xf>
    <xf numFmtId="0" fontId="2" fillId="4" borderId="20" xfId="2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 vertical="center"/>
    </xf>
    <xf numFmtId="20" fontId="2" fillId="4" borderId="14" xfId="2" applyNumberFormat="1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5" borderId="14" xfId="0" applyFont="1" applyFill="1" applyBorder="1" applyAlignment="1">
      <alignment horizontal="center"/>
    </xf>
    <xf numFmtId="20" fontId="2" fillId="5" borderId="14" xfId="2" quotePrefix="1" applyNumberFormat="1" applyFont="1" applyFill="1" applyBorder="1" applyAlignment="1">
      <alignment horizontal="center"/>
    </xf>
    <xf numFmtId="0" fontId="2" fillId="0" borderId="16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1" fillId="6" borderId="14" xfId="2" applyFont="1" applyFill="1" applyBorder="1" applyAlignment="1">
      <alignment horizontal="center" vertical="center" wrapText="1"/>
    </xf>
    <xf numFmtId="0" fontId="1" fillId="6" borderId="15" xfId="2" applyFont="1" applyFill="1" applyBorder="1" applyAlignment="1">
      <alignment horizontal="center" vertical="center" wrapText="1"/>
    </xf>
    <xf numFmtId="49" fontId="6" fillId="0" borderId="6" xfId="0" quotePrefix="1" applyNumberFormat="1" applyFont="1" applyBorder="1" applyAlignment="1">
      <alignment horizontal="left"/>
    </xf>
    <xf numFmtId="49" fontId="6" fillId="0" borderId="6" xfId="0" applyNumberFormat="1" applyFont="1" applyBorder="1" applyAlignment="1">
      <alignment horizontal="left"/>
    </xf>
    <xf numFmtId="49" fontId="6" fillId="0" borderId="26" xfId="0" applyNumberFormat="1" applyFont="1" applyBorder="1" applyAlignment="1">
      <alignment horizontal="left"/>
    </xf>
    <xf numFmtId="0" fontId="17" fillId="0" borderId="6" xfId="0" applyFont="1" applyBorder="1" applyAlignment="1">
      <alignment horizontal="left" vertical="center"/>
    </xf>
    <xf numFmtId="49" fontId="2" fillId="0" borderId="0" xfId="3" applyNumberFormat="1" applyAlignment="1">
      <alignment horizontal="center" vertical="center"/>
    </xf>
    <xf numFmtId="167" fontId="2" fillId="0" borderId="3" xfId="0" applyNumberFormat="1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26" xfId="0" applyBorder="1" applyAlignment="1" applyProtection="1">
      <alignment horizontal="left"/>
      <protection locked="0"/>
    </xf>
    <xf numFmtId="20" fontId="5" fillId="0" borderId="20" xfId="0" applyNumberFormat="1" applyFont="1" applyBorder="1" applyAlignment="1">
      <alignment horizontal="left" vertical="center"/>
    </xf>
    <xf numFmtId="20" fontId="5" fillId="0" borderId="3" xfId="0" applyNumberFormat="1" applyFont="1" applyBorder="1" applyAlignment="1">
      <alignment horizontal="left" vertical="center"/>
    </xf>
    <xf numFmtId="20" fontId="5" fillId="0" borderId="23" xfId="0" applyNumberFormat="1" applyFont="1" applyBorder="1" applyAlignment="1">
      <alignment horizontal="left" vertical="center"/>
    </xf>
    <xf numFmtId="49" fontId="8" fillId="0" borderId="46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23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49" fontId="19" fillId="0" borderId="8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164" fontId="18" fillId="0" borderId="46" xfId="0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164" fontId="18" fillId="0" borderId="38" xfId="0" applyNumberFormat="1" applyFont="1" applyBorder="1" applyAlignment="1">
      <alignment horizontal="center" vertical="center"/>
    </xf>
    <xf numFmtId="164" fontId="18" fillId="0" borderId="24" xfId="0" applyNumberFormat="1" applyFont="1" applyBorder="1" applyAlignment="1">
      <alignment horizontal="center" vertical="center"/>
    </xf>
    <xf numFmtId="164" fontId="18" fillId="0" borderId="39" xfId="0" applyNumberFormat="1" applyFont="1" applyBorder="1" applyAlignment="1">
      <alignment horizontal="center" vertical="center"/>
    </xf>
    <xf numFmtId="166" fontId="18" fillId="0" borderId="32" xfId="0" applyNumberFormat="1" applyFont="1" applyBorder="1" applyAlignment="1">
      <alignment horizontal="center" vertical="center"/>
    </xf>
    <xf numFmtId="166" fontId="18" fillId="0" borderId="18" xfId="0" applyNumberFormat="1" applyFont="1" applyBorder="1" applyAlignment="1">
      <alignment horizontal="center" vertical="center"/>
    </xf>
    <xf numFmtId="166" fontId="18" fillId="0" borderId="29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8" fillId="0" borderId="43" xfId="0" applyNumberFormat="1" applyFont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justify" vertical="center" wrapText="1"/>
    </xf>
    <xf numFmtId="49" fontId="7" fillId="0" borderId="2" xfId="0" applyNumberFormat="1" applyFont="1" applyBorder="1" applyAlignment="1">
      <alignment horizontal="justify" vertical="center" wrapText="1"/>
    </xf>
    <xf numFmtId="49" fontId="7" fillId="0" borderId="9" xfId="0" applyNumberFormat="1" applyFont="1" applyBorder="1" applyAlignment="1">
      <alignment horizontal="justify" vertical="center" wrapText="1"/>
    </xf>
    <xf numFmtId="49" fontId="7" fillId="0" borderId="12" xfId="0" applyNumberFormat="1" applyFont="1" applyBorder="1" applyAlignment="1">
      <alignment horizontal="justify" vertical="center" wrapText="1"/>
    </xf>
    <xf numFmtId="49" fontId="7" fillId="0" borderId="1" xfId="0" applyNumberFormat="1" applyFont="1" applyBorder="1" applyAlignment="1">
      <alignment horizontal="justify" vertical="center" wrapText="1"/>
    </xf>
    <xf numFmtId="49" fontId="7" fillId="0" borderId="13" xfId="0" applyNumberFormat="1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16" fillId="0" borderId="6" xfId="0" applyFont="1" applyBorder="1" applyAlignment="1">
      <alignment horizontal="center" vertical="center"/>
    </xf>
    <xf numFmtId="20" fontId="2" fillId="0" borderId="20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2" fillId="0" borderId="23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30" xfId="0" applyNumberFormat="1" applyFont="1" applyBorder="1" applyAlignment="1">
      <alignment horizontal="left" vertical="center"/>
    </xf>
    <xf numFmtId="49" fontId="5" fillId="0" borderId="32" xfId="0" applyNumberFormat="1" applyFont="1" applyBorder="1" applyAlignment="1">
      <alignment horizontal="left" vertical="center"/>
    </xf>
    <xf numFmtId="20" fontId="2" fillId="0" borderId="29" xfId="0" applyNumberFormat="1" applyFont="1" applyBorder="1" applyAlignment="1">
      <alignment horizontal="center" vertical="center"/>
    </xf>
    <xf numFmtId="20" fontId="2" fillId="0" borderId="30" xfId="0" applyNumberFormat="1" applyFont="1" applyBorder="1" applyAlignment="1">
      <alignment horizontal="center" vertical="center"/>
    </xf>
    <xf numFmtId="20" fontId="2" fillId="0" borderId="31" xfId="0" applyNumberFormat="1" applyFont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 vertical="center"/>
      <protection locked="0" hidden="1"/>
    </xf>
    <xf numFmtId="1" fontId="0" fillId="0" borderId="14" xfId="0" applyNumberFormat="1" applyBorder="1" applyAlignment="1" applyProtection="1">
      <alignment horizontal="center" vertical="center"/>
      <protection locked="0" hidden="1"/>
    </xf>
    <xf numFmtId="1" fontId="0" fillId="0" borderId="15" xfId="0" applyNumberFormat="1" applyBorder="1" applyAlignment="1" applyProtection="1">
      <alignment horizontal="center" vertical="center"/>
      <protection locked="0" hidden="1"/>
    </xf>
    <xf numFmtId="1" fontId="0" fillId="0" borderId="19" xfId="0" applyNumberFormat="1" applyBorder="1" applyAlignment="1" applyProtection="1">
      <alignment horizontal="center" vertical="center"/>
      <protection locked="0" hidden="1"/>
    </xf>
    <xf numFmtId="0" fontId="2" fillId="0" borderId="22" xfId="0" applyFont="1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/>
      <protection locked="0"/>
    </xf>
    <xf numFmtId="165" fontId="2" fillId="0" borderId="41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horizontal="center" vertical="center"/>
      <protection locked="0" hidden="1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5" xfId="0" applyNumberFormat="1" applyFont="1" applyBorder="1" applyAlignment="1" applyProtection="1">
      <alignment horizontal="center" vertical="center"/>
      <protection locked="0" hidden="1"/>
    </xf>
    <xf numFmtId="49" fontId="3" fillId="0" borderId="8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13" fillId="0" borderId="8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167" fontId="2" fillId="0" borderId="23" xfId="0" applyNumberFormat="1" applyFont="1" applyBorder="1" applyAlignment="1" applyProtection="1">
      <alignment horizontal="left"/>
      <protection locked="0"/>
    </xf>
    <xf numFmtId="49" fontId="20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 applyProtection="1">
      <alignment horizontal="left"/>
      <protection locked="0"/>
    </xf>
    <xf numFmtId="167" fontId="0" fillId="0" borderId="6" xfId="0" applyNumberFormat="1" applyBorder="1" applyAlignment="1" applyProtection="1">
      <alignment horizontal="left"/>
      <protection locked="0"/>
    </xf>
    <xf numFmtId="167" fontId="0" fillId="0" borderId="26" xfId="0" applyNumberFormat="1" applyBorder="1" applyAlignment="1" applyProtection="1">
      <alignment horizontal="left"/>
      <protection locked="0"/>
    </xf>
    <xf numFmtId="49" fontId="2" fillId="0" borderId="10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18" fillId="0" borderId="47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/>
      <protection locked="0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167" fontId="2" fillId="0" borderId="6" xfId="0" applyNumberFormat="1" applyFont="1" applyBorder="1" applyProtection="1">
      <protection locked="0"/>
    </xf>
    <xf numFmtId="167" fontId="0" fillId="0" borderId="6" xfId="0" applyNumberFormat="1" applyBorder="1" applyProtection="1">
      <protection locked="0"/>
    </xf>
    <xf numFmtId="167" fontId="11" fillId="0" borderId="3" xfId="1" applyNumberFormat="1" applyBorder="1" applyAlignment="1" applyProtection="1">
      <protection locked="0"/>
    </xf>
    <xf numFmtId="167" fontId="0" fillId="0" borderId="3" xfId="0" applyNumberFormat="1" applyBorder="1" applyProtection="1">
      <protection locked="0"/>
    </xf>
    <xf numFmtId="49" fontId="2" fillId="0" borderId="24" xfId="0" applyNumberFormat="1" applyFont="1" applyBorder="1" applyAlignment="1">
      <alignment horizontal="center"/>
    </xf>
    <xf numFmtId="49" fontId="2" fillId="0" borderId="25" xfId="0" applyNumberFormat="1" applyFont="1" applyBorder="1" applyAlignment="1">
      <alignment horizontal="center"/>
    </xf>
    <xf numFmtId="165" fontId="2" fillId="0" borderId="41" xfId="0" quotePrefix="1" applyNumberFormat="1" applyFont="1" applyBorder="1" applyAlignment="1" applyProtection="1">
      <alignment horizontal="center" vertical="center"/>
      <protection locked="0"/>
    </xf>
    <xf numFmtId="49" fontId="6" fillId="0" borderId="2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right"/>
    </xf>
    <xf numFmtId="165" fontId="2" fillId="0" borderId="28" xfId="0" applyNumberFormat="1" applyFont="1" applyBorder="1" applyAlignment="1" applyProtection="1">
      <alignment horizontal="center" vertical="center"/>
      <protection locked="0"/>
    </xf>
    <xf numFmtId="165" fontId="2" fillId="0" borderId="21" xfId="0" applyNumberFormat="1" applyFont="1" applyBorder="1" applyAlignment="1" applyProtection="1">
      <alignment horizontal="center" vertical="center"/>
      <protection locked="0"/>
    </xf>
    <xf numFmtId="165" fontId="2" fillId="0" borderId="21" xfId="0" applyNumberFormat="1" applyFont="1" applyBorder="1" applyAlignment="1" applyProtection="1">
      <alignment horizontal="center" vertical="center"/>
      <protection locked="0" hidden="1"/>
    </xf>
    <xf numFmtId="1" fontId="0" fillId="0" borderId="21" xfId="0" applyNumberFormat="1" applyBorder="1" applyAlignment="1" applyProtection="1">
      <alignment horizontal="center" vertical="center"/>
      <protection locked="0" hidden="1"/>
    </xf>
    <xf numFmtId="1" fontId="0" fillId="0" borderId="32" xfId="0" applyNumberFormat="1" applyBorder="1" applyAlignment="1" applyProtection="1">
      <alignment horizontal="center" vertical="center"/>
      <protection locked="0" hidden="1"/>
    </xf>
    <xf numFmtId="49" fontId="17" fillId="0" borderId="37" xfId="0" applyNumberFormat="1" applyFont="1" applyBorder="1" applyAlignment="1">
      <alignment horizontal="left" vertical="center"/>
    </xf>
    <xf numFmtId="49" fontId="17" fillId="0" borderId="41" xfId="0" applyNumberFormat="1" applyFont="1" applyBorder="1" applyAlignment="1">
      <alignment horizontal="left" vertical="center"/>
    </xf>
    <xf numFmtId="49" fontId="17" fillId="0" borderId="45" xfId="0" applyNumberFormat="1" applyFont="1" applyBorder="1" applyAlignment="1">
      <alignment horizontal="left" vertical="center"/>
    </xf>
    <xf numFmtId="49" fontId="17" fillId="0" borderId="16" xfId="0" applyNumberFormat="1" applyFont="1" applyBorder="1" applyAlignment="1">
      <alignment horizontal="left" vertical="center"/>
    </xf>
    <xf numFmtId="49" fontId="17" fillId="0" borderId="14" xfId="0" applyNumberFormat="1" applyFont="1" applyBorder="1" applyAlignment="1">
      <alignment horizontal="left" vertical="center"/>
    </xf>
    <xf numFmtId="49" fontId="17" fillId="0" borderId="15" xfId="0" applyNumberFormat="1" applyFont="1" applyBorder="1" applyAlignment="1">
      <alignment horizontal="left" vertical="center"/>
    </xf>
    <xf numFmtId="49" fontId="17" fillId="0" borderId="17" xfId="0" applyNumberFormat="1" applyFont="1" applyBorder="1" applyAlignment="1">
      <alignment horizontal="left" vertical="center"/>
    </xf>
    <xf numFmtId="49" fontId="17" fillId="0" borderId="18" xfId="0" applyNumberFormat="1" applyFont="1" applyBorder="1" applyAlignment="1">
      <alignment horizontal="left" vertical="center"/>
    </xf>
    <xf numFmtId="49" fontId="17" fillId="0" borderId="19" xfId="0" applyNumberFormat="1" applyFont="1" applyBorder="1" applyAlignment="1">
      <alignment horizontal="left" vertical="center"/>
    </xf>
    <xf numFmtId="166" fontId="18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165" fontId="2" fillId="0" borderId="45" xfId="0" applyNumberFormat="1" applyFont="1" applyBorder="1" applyAlignment="1" applyProtection="1">
      <alignment horizontal="center" vertical="center"/>
      <protection locked="0"/>
    </xf>
    <xf numFmtId="49" fontId="5" fillId="0" borderId="0" xfId="0" applyNumberFormat="1" applyFont="1" applyAlignment="1">
      <alignment horizontal="center" vertical="center"/>
    </xf>
    <xf numFmtId="49" fontId="18" fillId="0" borderId="37" xfId="0" applyNumberFormat="1" applyFont="1" applyBorder="1" applyAlignment="1">
      <alignment horizontal="center" vertical="center"/>
    </xf>
    <xf numFmtId="49" fontId="18" fillId="0" borderId="41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5" xfId="0" applyNumberFormat="1" applyFont="1" applyBorder="1" applyAlignment="1">
      <alignment horizontal="center" vertical="center"/>
    </xf>
    <xf numFmtId="49" fontId="17" fillId="0" borderId="16" xfId="0" applyNumberFormat="1" applyFont="1" applyBorder="1" applyAlignment="1">
      <alignment vertical="center"/>
    </xf>
    <xf numFmtId="49" fontId="17" fillId="0" borderId="14" xfId="0" applyNumberFormat="1" applyFont="1" applyBorder="1" applyAlignment="1">
      <alignment vertical="center"/>
    </xf>
    <xf numFmtId="4" fontId="17" fillId="0" borderId="14" xfId="0" applyNumberFormat="1" applyFont="1" applyBorder="1" applyAlignment="1">
      <alignment vertical="center"/>
    </xf>
    <xf numFmtId="4" fontId="17" fillId="0" borderId="15" xfId="0" applyNumberFormat="1" applyFont="1" applyBorder="1" applyAlignment="1">
      <alignment vertical="center"/>
    </xf>
    <xf numFmtId="4" fontId="17" fillId="0" borderId="18" xfId="0" applyNumberFormat="1" applyFont="1" applyBorder="1" applyAlignment="1">
      <alignment horizontal="center" vertical="center"/>
    </xf>
    <xf numFmtId="4" fontId="17" fillId="0" borderId="19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/>
    </xf>
    <xf numFmtId="49" fontId="2" fillId="0" borderId="26" xfId="0" applyNumberFormat="1" applyFont="1" applyBorder="1" applyAlignment="1">
      <alignment horizontal="left"/>
    </xf>
    <xf numFmtId="0" fontId="17" fillId="0" borderId="0" xfId="0" applyFont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" fillId="0" borderId="3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left"/>
    </xf>
    <xf numFmtId="49" fontId="6" fillId="0" borderId="26" xfId="0" applyNumberFormat="1" applyFont="1" applyBorder="1" applyAlignment="1">
      <alignment horizontal="left"/>
    </xf>
    <xf numFmtId="49" fontId="21" fillId="0" borderId="0" xfId="0" applyNumberFormat="1" applyFont="1" applyAlignment="1">
      <alignment horizontal="center" vertical="center"/>
    </xf>
    <xf numFmtId="49" fontId="5" fillId="0" borderId="8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24" fillId="0" borderId="6" xfId="0" applyNumberFormat="1" applyFont="1" applyBorder="1" applyAlignment="1">
      <alignment horizontal="left"/>
    </xf>
    <xf numFmtId="49" fontId="24" fillId="0" borderId="26" xfId="0" applyNumberFormat="1" applyFont="1" applyBorder="1" applyAlignment="1">
      <alignment horizontal="left"/>
    </xf>
    <xf numFmtId="49" fontId="2" fillId="0" borderId="3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1" fillId="6" borderId="40" xfId="2" applyFont="1" applyFill="1" applyBorder="1" applyAlignment="1">
      <alignment horizontal="center" vertical="center" wrapText="1"/>
    </xf>
    <xf numFmtId="0" fontId="1" fillId="6" borderId="41" xfId="2" applyFont="1" applyFill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2" fillId="0" borderId="8" xfId="2" applyFont="1" applyBorder="1"/>
    <xf numFmtId="0" fontId="2" fillId="0" borderId="2" xfId="2" applyFont="1" applyBorder="1"/>
    <xf numFmtId="0" fontId="2" fillId="0" borderId="9" xfId="2" applyFont="1" applyBorder="1"/>
    <xf numFmtId="0" fontId="2" fillId="0" borderId="10" xfId="2" applyFont="1" applyBorder="1"/>
    <xf numFmtId="0" fontId="2" fillId="0" borderId="0" xfId="2" applyFont="1"/>
    <xf numFmtId="0" fontId="2" fillId="0" borderId="11" xfId="2" applyFont="1" applyBorder="1"/>
    <xf numFmtId="0" fontId="2" fillId="0" borderId="12" xfId="2" applyFont="1" applyBorder="1"/>
    <xf numFmtId="0" fontId="2" fillId="0" borderId="1" xfId="2" applyFont="1" applyBorder="1"/>
    <xf numFmtId="0" fontId="2" fillId="0" borderId="13" xfId="2" applyFont="1" applyBorder="1"/>
    <xf numFmtId="0" fontId="1" fillId="6" borderId="36" xfId="2" applyFont="1" applyFill="1" applyBorder="1" applyAlignment="1">
      <alignment horizontal="center" vertical="center" wrapText="1"/>
    </xf>
    <xf numFmtId="0" fontId="1" fillId="6" borderId="37" xfId="2" applyFont="1" applyFill="1" applyBorder="1" applyAlignment="1">
      <alignment horizontal="center" vertical="center" wrapText="1"/>
    </xf>
    <xf numFmtId="0" fontId="1" fillId="6" borderId="38" xfId="2" applyFont="1" applyFill="1" applyBorder="1" applyAlignment="1">
      <alignment horizontal="center" vertical="center" wrapText="1"/>
    </xf>
    <xf numFmtId="0" fontId="1" fillId="6" borderId="24" xfId="2" applyFont="1" applyFill="1" applyBorder="1" applyAlignment="1">
      <alignment horizontal="center" vertical="center" wrapText="1"/>
    </xf>
    <xf numFmtId="0" fontId="1" fillId="6" borderId="39" xfId="2" applyFont="1" applyFill="1" applyBorder="1" applyAlignment="1">
      <alignment horizontal="center" vertical="center" wrapText="1"/>
    </xf>
    <xf numFmtId="0" fontId="1" fillId="6" borderId="25" xfId="2" applyFont="1" applyFill="1" applyBorder="1" applyAlignment="1">
      <alignment horizontal="center" vertical="center" wrapText="1"/>
    </xf>
    <xf numFmtId="0" fontId="1" fillId="2" borderId="40" xfId="2" applyFont="1" applyFill="1" applyBorder="1" applyAlignment="1">
      <alignment horizontal="center" vertical="center" wrapText="1"/>
    </xf>
    <xf numFmtId="0" fontId="1" fillId="2" borderId="41" xfId="2" applyFont="1" applyFill="1" applyBorder="1" applyAlignment="1">
      <alignment horizontal="center" vertical="center" wrapText="1"/>
    </xf>
    <xf numFmtId="0" fontId="1" fillId="2" borderId="38" xfId="2" applyFont="1" applyFill="1" applyBorder="1" applyAlignment="1">
      <alignment horizontal="center" vertical="center" wrapText="1"/>
    </xf>
    <xf numFmtId="0" fontId="1" fillId="2" borderId="24" xfId="2" applyFont="1" applyFill="1" applyBorder="1" applyAlignment="1">
      <alignment horizontal="center" vertical="center" wrapText="1"/>
    </xf>
    <xf numFmtId="0" fontId="1" fillId="2" borderId="39" xfId="2" applyFont="1" applyFill="1" applyBorder="1" applyAlignment="1">
      <alignment horizontal="center" vertical="center" wrapText="1"/>
    </xf>
    <xf numFmtId="0" fontId="1" fillId="2" borderId="25" xfId="2" applyFont="1" applyFill="1" applyBorder="1" applyAlignment="1">
      <alignment horizontal="center" vertical="center" wrapText="1"/>
    </xf>
    <xf numFmtId="0" fontId="1" fillId="2" borderId="36" xfId="2" applyFont="1" applyFill="1" applyBorder="1" applyAlignment="1">
      <alignment horizontal="center" vertical="center" wrapText="1"/>
    </xf>
    <xf numFmtId="0" fontId="1" fillId="2" borderId="37" xfId="2" applyFont="1" applyFill="1" applyBorder="1" applyAlignment="1">
      <alignment horizontal="center" vertical="center" wrapText="1"/>
    </xf>
    <xf numFmtId="166" fontId="18" fillId="0" borderId="30" xfId="0" applyNumberFormat="1" applyFont="1" applyBorder="1" applyAlignment="1">
      <alignment horizontal="center" vertical="center"/>
    </xf>
    <xf numFmtId="166" fontId="18" fillId="0" borderId="31" xfId="0" applyNumberFormat="1" applyFont="1" applyBorder="1" applyAlignment="1">
      <alignment horizontal="center" vertical="center"/>
    </xf>
  </cellXfs>
  <cellStyles count="5">
    <cellStyle name="Hiperlink" xfId="1" builtinId="8"/>
    <cellStyle name="Hyperlink" xfId="4" xr:uid="{00000000-000B-0000-0000-000008000000}"/>
    <cellStyle name="Normal" xfId="0" builtinId="0"/>
    <cellStyle name="Normal 2" xfId="3" xr:uid="{00000000-0005-0000-0000-000002000000}"/>
    <cellStyle name="Normal_RD - Relatório de Despesas" xfId="2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CFF"/>
      <color rgb="FF99CCFF"/>
      <color rgb="FF3399FF"/>
      <color rgb="FF0066FF"/>
      <color rgb="FF0000FF"/>
      <color rgb="FF0000CC"/>
      <color rgb="FFFFCC66"/>
      <color rgb="FF66FF99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9</xdr:row>
      <xdr:rowOff>142875</xdr:rowOff>
    </xdr:from>
    <xdr:to>
      <xdr:col>5</xdr:col>
      <xdr:colOff>9525</xdr:colOff>
      <xdr:row>9</xdr:row>
      <xdr:rowOff>247650</xdr:rowOff>
    </xdr:to>
    <xdr:sp macro="" textlink="">
      <xdr:nvSpPr>
        <xdr:cNvPr id="8419" name="Rectangle 6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SpPr>
          <a:spLocks noChangeArrowheads="1"/>
        </xdr:cNvSpPr>
      </xdr:nvSpPr>
      <xdr:spPr bwMode="auto">
        <a:xfrm>
          <a:off x="514350" y="3000375"/>
          <a:ext cx="114300" cy="1047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19050</xdr:colOff>
      <xdr:row>9</xdr:row>
      <xdr:rowOff>142875</xdr:rowOff>
    </xdr:from>
    <xdr:to>
      <xdr:col>42</xdr:col>
      <xdr:colOff>9525</xdr:colOff>
      <xdr:row>9</xdr:row>
      <xdr:rowOff>247650</xdr:rowOff>
    </xdr:to>
    <xdr:sp macro="" textlink="">
      <xdr:nvSpPr>
        <xdr:cNvPr id="8199" name="Rectangle 9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SpPr>
          <a:spLocks noChangeArrowheads="1"/>
        </xdr:cNvSpPr>
      </xdr:nvSpPr>
      <xdr:spPr bwMode="auto">
        <a:xfrm>
          <a:off x="3771900" y="3086100"/>
          <a:ext cx="114300" cy="1047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pt-BR" sz="1000" b="0" i="0" strike="noStrike">
              <a:solidFill>
                <a:sysClr val="windowText" lastClr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32</xdr:col>
      <xdr:colOff>19050</xdr:colOff>
      <xdr:row>9</xdr:row>
      <xdr:rowOff>142875</xdr:rowOff>
    </xdr:from>
    <xdr:to>
      <xdr:col>33</xdr:col>
      <xdr:colOff>9525</xdr:colOff>
      <xdr:row>9</xdr:row>
      <xdr:rowOff>247650</xdr:rowOff>
    </xdr:to>
    <xdr:sp macro="" textlink="">
      <xdr:nvSpPr>
        <xdr:cNvPr id="8426" name="Rectangle 7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SpPr>
          <a:spLocks noChangeArrowheads="1"/>
        </xdr:cNvSpPr>
      </xdr:nvSpPr>
      <xdr:spPr bwMode="auto">
        <a:xfrm>
          <a:off x="3981450" y="3000375"/>
          <a:ext cx="114300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19050</xdr:colOff>
      <xdr:row>9</xdr:row>
      <xdr:rowOff>142875</xdr:rowOff>
    </xdr:from>
    <xdr:to>
      <xdr:col>20</xdr:col>
      <xdr:colOff>9525</xdr:colOff>
      <xdr:row>9</xdr:row>
      <xdr:rowOff>247650</xdr:rowOff>
    </xdr:to>
    <xdr:sp macro="" textlink="">
      <xdr:nvSpPr>
        <xdr:cNvPr id="8427" name="Rectangle 8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SpPr>
          <a:spLocks noChangeArrowheads="1"/>
        </xdr:cNvSpPr>
      </xdr:nvSpPr>
      <xdr:spPr bwMode="auto">
        <a:xfrm>
          <a:off x="2371725" y="3000375"/>
          <a:ext cx="114300" cy="1047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19050</xdr:colOff>
      <xdr:row>10</xdr:row>
      <xdr:rowOff>142875</xdr:rowOff>
    </xdr:from>
    <xdr:to>
      <xdr:col>20</xdr:col>
      <xdr:colOff>9525</xdr:colOff>
      <xdr:row>10</xdr:row>
      <xdr:rowOff>247650</xdr:rowOff>
    </xdr:to>
    <xdr:sp macro="" textlink="">
      <xdr:nvSpPr>
        <xdr:cNvPr id="13" name="Rectangl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2371725" y="3286125"/>
          <a:ext cx="114300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19050</xdr:colOff>
      <xdr:row>10</xdr:row>
      <xdr:rowOff>142875</xdr:rowOff>
    </xdr:from>
    <xdr:to>
      <xdr:col>42</xdr:col>
      <xdr:colOff>9525</xdr:colOff>
      <xdr:row>10</xdr:row>
      <xdr:rowOff>247650</xdr:rowOff>
    </xdr:to>
    <xdr:sp macro="" textlink="">
      <xdr:nvSpPr>
        <xdr:cNvPr id="14" name="Rectangle 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5343525" y="3286125"/>
          <a:ext cx="114300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pt-BR" sz="1000" b="0" i="0" strike="noStrike">
              <a:solidFill>
                <a:sysClr val="windowText" lastClr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4</xdr:col>
      <xdr:colOff>19050</xdr:colOff>
      <xdr:row>10</xdr:row>
      <xdr:rowOff>142875</xdr:rowOff>
    </xdr:from>
    <xdr:to>
      <xdr:col>5</xdr:col>
      <xdr:colOff>9525</xdr:colOff>
      <xdr:row>10</xdr:row>
      <xdr:rowOff>247650</xdr:rowOff>
    </xdr:to>
    <xdr:sp macro="" textlink="">
      <xdr:nvSpPr>
        <xdr:cNvPr id="18" name="Rectangl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514350" y="3286125"/>
          <a:ext cx="114300" cy="1047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10</xdr:row>
      <xdr:rowOff>159440</xdr:rowOff>
    </xdr:from>
    <xdr:to>
      <xdr:col>33</xdr:col>
      <xdr:colOff>9525</xdr:colOff>
      <xdr:row>10</xdr:row>
      <xdr:rowOff>264215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3994702" y="3008657"/>
          <a:ext cx="114714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60960</xdr:colOff>
      <xdr:row>0</xdr:row>
      <xdr:rowOff>137160</xdr:rowOff>
    </xdr:from>
    <xdr:to>
      <xdr:col>7</xdr:col>
      <xdr:colOff>50650</xdr:colOff>
      <xdr:row>2</xdr:row>
      <xdr:rowOff>240254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54B81D-343D-47A6-87DF-A5B2F6A99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137160"/>
          <a:ext cx="896470" cy="666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137160</xdr:rowOff>
    </xdr:from>
    <xdr:to>
      <xdr:col>7</xdr:col>
      <xdr:colOff>50650</xdr:colOff>
      <xdr:row>2</xdr:row>
      <xdr:rowOff>240254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7D19D9-0F1D-43A8-9CA9-9C84F2BF8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137160"/>
          <a:ext cx="896470" cy="66697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nderson.jose@duratex.com.br" TargetMode="External"/><Relationship Id="rId18" Type="http://schemas.openxmlformats.org/officeDocument/2006/relationships/hyperlink" Target="mailto:leonardo.moreira@duratex.com.br" TargetMode="External"/><Relationship Id="rId26" Type="http://schemas.openxmlformats.org/officeDocument/2006/relationships/hyperlink" Target="mailto:jonathan.munoz@gm.com" TargetMode="External"/><Relationship Id="rId39" Type="http://schemas.openxmlformats.org/officeDocument/2006/relationships/hyperlink" Target="mailto:maikon.macedo@plascargroup.com" TargetMode="External"/><Relationship Id="rId21" Type="http://schemas.openxmlformats.org/officeDocument/2006/relationships/hyperlink" Target="mailto:edvaldo.spigosso@braskem.com" TargetMode="External"/><Relationship Id="rId34" Type="http://schemas.openxmlformats.org/officeDocument/2006/relationships/hyperlink" Target="mailto:antonio.silva@coleman.com" TargetMode="External"/><Relationship Id="rId42" Type="http://schemas.openxmlformats.org/officeDocument/2006/relationships/hyperlink" Target="mailto:leonardo.oliveira1@bayer.com" TargetMode="External"/><Relationship Id="rId47" Type="http://schemas.openxmlformats.org/officeDocument/2006/relationships/hyperlink" Target="mailto:asilva.br@inoxpa.com" TargetMode="External"/><Relationship Id="rId50" Type="http://schemas.openxmlformats.org/officeDocument/2006/relationships/hyperlink" Target="mailto:marcos@attc.com.br" TargetMode="External"/><Relationship Id="rId55" Type="http://schemas.openxmlformats.org/officeDocument/2006/relationships/hyperlink" Target="mailto:rodrigo.vitale@basf.com" TargetMode="External"/><Relationship Id="rId7" Type="http://schemas.openxmlformats.org/officeDocument/2006/relationships/hyperlink" Target="mailto:josecarlos.santos@scania.com" TargetMode="External"/><Relationship Id="rId2" Type="http://schemas.openxmlformats.org/officeDocument/2006/relationships/hyperlink" Target="mailto:jose.ensinas@braskem.com" TargetMode="External"/><Relationship Id="rId16" Type="http://schemas.openxmlformats.org/officeDocument/2006/relationships/hyperlink" Target="mailto:leonardo.moreira@duratex.com.br" TargetMode="External"/><Relationship Id="rId29" Type="http://schemas.openxmlformats.org/officeDocument/2006/relationships/hyperlink" Target="mailto:robert.moreira@pall.com" TargetMode="External"/><Relationship Id="rId11" Type="http://schemas.openxmlformats.org/officeDocument/2006/relationships/hyperlink" Target="mailto:cristian.silva@nitroquimica.com.br" TargetMode="External"/><Relationship Id="rId24" Type="http://schemas.openxmlformats.org/officeDocument/2006/relationships/hyperlink" Target="mailto:lino.teruo@bayer.com" TargetMode="External"/><Relationship Id="rId32" Type="http://schemas.openxmlformats.org/officeDocument/2006/relationships/hyperlink" Target="mailto:fabio.ramos@theraskin.com.br" TargetMode="External"/><Relationship Id="rId37" Type="http://schemas.openxmlformats.org/officeDocument/2006/relationships/hyperlink" Target="mailto:wanderley.bazani@solvay.com" TargetMode="External"/><Relationship Id="rId40" Type="http://schemas.openxmlformats.org/officeDocument/2006/relationships/hyperlink" Target="mailto:paulo_cunha@baxter.com" TargetMode="External"/><Relationship Id="rId45" Type="http://schemas.openxmlformats.org/officeDocument/2006/relationships/hyperlink" Target="mailto:reginaldo.sipan@regren.com.br" TargetMode="External"/><Relationship Id="rId53" Type="http://schemas.openxmlformats.org/officeDocument/2006/relationships/hyperlink" Target="mailto:anderson.presa@tsebr.com" TargetMode="External"/><Relationship Id="rId5" Type="http://schemas.openxmlformats.org/officeDocument/2006/relationships/hyperlink" Target="mailto:wanderley.bazani@unipar.com" TargetMode="External"/><Relationship Id="rId19" Type="http://schemas.openxmlformats.org/officeDocument/2006/relationships/hyperlink" Target="mailto:fabiana.lanzillotta@braskem.com" TargetMode="External"/><Relationship Id="rId4" Type="http://schemas.openxmlformats.org/officeDocument/2006/relationships/hyperlink" Target="mailto:flavio.monteiro@braskem.com" TargetMode="External"/><Relationship Id="rId9" Type="http://schemas.openxmlformats.org/officeDocument/2006/relationships/hyperlink" Target="mailto:haroldo.teixeira@chevron.com" TargetMode="External"/><Relationship Id="rId14" Type="http://schemas.openxmlformats.org/officeDocument/2006/relationships/hyperlink" Target="mailto:thiago.m.miyauti@stiefel.com" TargetMode="External"/><Relationship Id="rId22" Type="http://schemas.openxmlformats.org/officeDocument/2006/relationships/hyperlink" Target="mailto:jonathan.escaliante@solvay.com" TargetMode="External"/><Relationship Id="rId27" Type="http://schemas.openxmlformats.org/officeDocument/2006/relationships/hyperlink" Target="mailto:luiz.marcelo@daimler.com" TargetMode="External"/><Relationship Id="rId30" Type="http://schemas.openxmlformats.org/officeDocument/2006/relationships/hyperlink" Target="mailto:alessandro.silva@saint-gobain.com" TargetMode="External"/><Relationship Id="rId35" Type="http://schemas.openxmlformats.org/officeDocument/2006/relationships/hyperlink" Target="mailto:kleber.martins@gelita.com" TargetMode="External"/><Relationship Id="rId43" Type="http://schemas.openxmlformats.org/officeDocument/2006/relationships/hyperlink" Target="mailto:producao@omsbr.com.br" TargetMode="External"/><Relationship Id="rId48" Type="http://schemas.openxmlformats.org/officeDocument/2006/relationships/hyperlink" Target="mailto:anderson.rodrigues@clarios.com" TargetMode="External"/><Relationship Id="rId56" Type="http://schemas.openxmlformats.org/officeDocument/2006/relationships/printerSettings" Target="../printerSettings/printerSettings3.bin"/><Relationship Id="rId8" Type="http://schemas.openxmlformats.org/officeDocument/2006/relationships/hyperlink" Target="mailto:hugo.silva@cbmm.com.br" TargetMode="External"/><Relationship Id="rId51" Type="http://schemas.openxmlformats.org/officeDocument/2006/relationships/hyperlink" Target="mailto:asilva.br@inoxpa.com" TargetMode="External"/><Relationship Id="rId3" Type="http://schemas.openxmlformats.org/officeDocument/2006/relationships/hyperlink" Target="mailto:flavio.issa@braskem.com" TargetMode="External"/><Relationship Id="rId12" Type="http://schemas.openxmlformats.org/officeDocument/2006/relationships/hyperlink" Target="mailto:wagner_ricardo@westpharma.com" TargetMode="External"/><Relationship Id="rId17" Type="http://schemas.openxmlformats.org/officeDocument/2006/relationships/hyperlink" Target="mailto:leonardo.moreira@duratex.com.br" TargetMode="External"/><Relationship Id="rId25" Type="http://schemas.openxmlformats.org/officeDocument/2006/relationships/hyperlink" Target="mailto:marcelo.dejesus@gm.com" TargetMode="External"/><Relationship Id="rId33" Type="http://schemas.openxmlformats.org/officeDocument/2006/relationships/hyperlink" Target="mailto:victor.ramon@gelita.com" TargetMode="External"/><Relationship Id="rId38" Type="http://schemas.openxmlformats.org/officeDocument/2006/relationships/hyperlink" Target="mailto:rafael.viegas@unipar.com" TargetMode="External"/><Relationship Id="rId46" Type="http://schemas.openxmlformats.org/officeDocument/2006/relationships/hyperlink" Target="mailto:sergioaparecido.santos@pirelli.com" TargetMode="External"/><Relationship Id="rId20" Type="http://schemas.openxmlformats.org/officeDocument/2006/relationships/hyperlink" Target="mailto:bruno.godinho@braskem.com" TargetMode="External"/><Relationship Id="rId41" Type="http://schemas.openxmlformats.org/officeDocument/2006/relationships/hyperlink" Target="mailto:reginaldo.sipan@regren.com.br" TargetMode="External"/><Relationship Id="rId54" Type="http://schemas.openxmlformats.org/officeDocument/2006/relationships/hyperlink" Target="mailto:igor.vernier@unither.pharma.com" TargetMode="External"/><Relationship Id="rId1" Type="http://schemas.openxmlformats.org/officeDocument/2006/relationships/hyperlink" Target="mailto:rivaldo.lonardoni@duratex.com.br" TargetMode="External"/><Relationship Id="rId6" Type="http://schemas.openxmlformats.org/officeDocument/2006/relationships/hyperlink" Target="mailto:fabio.nunes@eirich.com.br" TargetMode="External"/><Relationship Id="rId15" Type="http://schemas.openxmlformats.org/officeDocument/2006/relationships/hyperlink" Target="mailto:jose.simoes@duratex.com.br" TargetMode="External"/><Relationship Id="rId23" Type="http://schemas.openxmlformats.org/officeDocument/2006/relationships/hyperlink" Target="mailto:jonathan.escaliante@solvay.com" TargetMode="External"/><Relationship Id="rId28" Type="http://schemas.openxmlformats.org/officeDocument/2006/relationships/hyperlink" Target="mailto:dario.galzerani@pirelli.com" TargetMode="External"/><Relationship Id="rId36" Type="http://schemas.openxmlformats.org/officeDocument/2006/relationships/hyperlink" Target="mailto:lucas.mizota@gelita.com" TargetMode="External"/><Relationship Id="rId49" Type="http://schemas.openxmlformats.org/officeDocument/2006/relationships/hyperlink" Target="mailto:rodrigo.silva@falcare" TargetMode="External"/><Relationship Id="rId57" Type="http://schemas.openxmlformats.org/officeDocument/2006/relationships/vmlDrawing" Target="../drawings/vmlDrawing1.vml"/><Relationship Id="rId10" Type="http://schemas.openxmlformats.org/officeDocument/2006/relationships/hyperlink" Target="mailto:rogerio.maesi@braskem.com" TargetMode="External"/><Relationship Id="rId31" Type="http://schemas.openxmlformats.org/officeDocument/2006/relationships/hyperlink" Target="mailto:julio.rodrigues@usiminas.com.br" TargetMode="External"/><Relationship Id="rId44" Type="http://schemas.openxmlformats.org/officeDocument/2006/relationships/hyperlink" Target="mailto:Jean.Borges@nitro.com.br" TargetMode="External"/><Relationship Id="rId52" Type="http://schemas.openxmlformats.org/officeDocument/2006/relationships/hyperlink" Target="mailto:asilva.br@inoxpa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recepcao.sjc%40carltonhoteis.com.br%09%09%09%0D%0A&amp;source=hp&amp;ei=bsdjZIKPAZmN5OUP1sKKkAk&amp;iflsig=AOEireoAAAAAZGPVfu5hOYXeRXeb63p8xF1CAPW0gK5b&amp;ved=0ahUKEwiC_rmOuPr-AhWZBrkGHVahApIQ4dUDCAk&amp;uact=5&amp;oq=recepcao.sjc%40carltonhoteis.com.br%09%09%09%0D%0A&amp;gs_lcp=Cgdnd3Mtd2l6EAMyCggAEAMQjwEQ6gIyCggAEAMQjwEQ6gIyCggAEAMQjwEQ6gIyCggAEAMQjwEQ6gIyCggAEAMQjwEQ6gIyCggAEAMQjwEQ6gIyCgguEAMQjwEQ6gIyCggAEAMQjwEQ6gIyCggAEAMQjwEQ6gIyCggAEAMQjwEQ6gJQ_QRY_QRgkAxoAXAAeACAAQCIAQCSAQCYAQCgAQKgAQGwAQo&amp;sclient=gws-wiz" TargetMode="External"/><Relationship Id="rId2" Type="http://schemas.openxmlformats.org/officeDocument/2006/relationships/hyperlink" Target="https://www.google.com/search?q=hotel+avenida+rj&amp;rlz=1C1GCEU_pt-BRBR1049BR1049&amp;hotel_occupancy=2&amp;biw=1536&amp;bih=746&amp;ei=dbdjZIyyNqzX1sQP69yp-AY&amp;gs_ssp=eJzj4tZP1zcsqTAsS8kpNmC0UjaosLQ0MzEzSE40NjZJNk-zMqgwMzG2TDVIMbI0MjQwSDEz8BLIyC9JzVFILEvNy0xJVCjKAgCSPhPL&amp;oq=Hotel+avenida+RJ&amp;gs_lcp=Cgxnd3Mtd2l6LXNlcnAQARgAMhEILhCABBDHARCvARCYBRCZBTIGCAAQFhAeMgYIABAWEB4yBggAEBYQHjIGCAAQFhAeMgYIABAWEB4yBggAEBYQHjIGCAAQFhAeMgYIABAWEB4yBggAEBYQHjIfCC4QgAQQxwEQrwEQmAUQmQUQlwUQ3AQQ3gQQ4AQYAToTCC4QigUQxwEQrwEQmAUQmQUQQzoHCAAQigUQQzoZCC4QigUQxwEQrwEQmAUQ1AIQngUQmQUQQzoWCC4QigUQxwEQrwEQmAUQngUQmQUQQzoICAAQgAQQ5wQ6IQguEIoFEMcBEK8BEJgFEJkFEEMQlwUQ3AQQ3gQQ4AQYATonCC4QigUQxwEQrwEQmAUQ1AIQngUQmQUQQxCXBRDcBBDeBBDgBBgBOgoIABCKBRCxAxBDOgoIABCKBRDJAxBDOggIABCKBRCSAzoZCC4QigUQsQMQgwEQxwEQrwEQmAUQmQUQQzoQCC4QigUQsQMQxwEQ0QMQQzoNCAAQigUQsQMQgwEQQzoFCAAQgAQ6CwgAEIAEEOcEEMkDOggIABCABBCSAzoLCAAQgAQQsQMQgwE6JwguEIoFELEDEIMBEMcBEK8BEJgFEJkFEEMQlwUQ3AQQ3gQQ4AQYAToXCC4QgwEQrwEQxwEQsQMQigUQmAUQmQU6EQguEK8BEMcBEIAEEJgFEJkFSgQIQRgAUABYsCxgo0FoAHABeACAAboBiAG_E5IBBDAuMTaYAQCgAQHAAQHaAQYIARABGBQ&amp;sclient=gws-wiz-serp" TargetMode="External"/><Relationship Id="rId1" Type="http://schemas.openxmlformats.org/officeDocument/2006/relationships/hyperlink" Target="https://www.srparkhotel.com.br/contato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BJ78"/>
  <sheetViews>
    <sheetView showGridLines="0" tabSelected="1" view="pageBreakPreview" topLeftCell="Y13" zoomScale="175" zoomScaleNormal="100" zoomScaleSheetLayoutView="175" workbookViewId="0">
      <selection activeCell="AV18" sqref="AV18:AZ18"/>
    </sheetView>
  </sheetViews>
  <sheetFormatPr defaultColWidth="9.109375" defaultRowHeight="18" customHeight="1" x14ac:dyDescent="0.25"/>
  <cols>
    <col min="1" max="53" width="1.88671875" style="1" customWidth="1"/>
    <col min="54" max="54" width="3" style="1" customWidth="1"/>
    <col min="55" max="55" width="7.6640625" style="1" customWidth="1"/>
    <col min="56" max="56" width="40.33203125" style="1" customWidth="1"/>
    <col min="57" max="57" width="9.109375" style="1"/>
    <col min="58" max="59" width="10.109375" style="1" bestFit="1" customWidth="1"/>
    <col min="60" max="16384" width="9.109375" style="1"/>
  </cols>
  <sheetData>
    <row r="1" spans="1:60" s="3" customFormat="1" ht="22.5" customHeight="1" x14ac:dyDescent="0.25">
      <c r="A1" s="168"/>
      <c r="B1" s="169"/>
      <c r="C1" s="169"/>
      <c r="D1" s="169"/>
      <c r="E1" s="169"/>
      <c r="F1" s="169"/>
      <c r="G1" s="169"/>
      <c r="H1" s="170"/>
      <c r="I1" s="16"/>
      <c r="J1" s="16"/>
      <c r="K1" s="21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177" t="s">
        <v>0</v>
      </c>
      <c r="AT1" s="178"/>
      <c r="AU1" s="178"/>
      <c r="AV1" s="178"/>
      <c r="AW1" s="178"/>
      <c r="AX1" s="178"/>
      <c r="AY1" s="178"/>
      <c r="AZ1" s="179"/>
      <c r="BD1" s="23"/>
      <c r="BF1" s="27"/>
      <c r="BG1" s="27"/>
    </row>
    <row r="2" spans="1:60" s="3" customFormat="1" ht="22.5" customHeight="1" x14ac:dyDescent="0.25">
      <c r="A2" s="171"/>
      <c r="B2" s="172"/>
      <c r="C2" s="172"/>
      <c r="D2" s="172"/>
      <c r="E2" s="172"/>
      <c r="F2" s="172"/>
      <c r="G2" s="172"/>
      <c r="H2" s="173"/>
      <c r="K2" s="187" t="s">
        <v>1</v>
      </c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7"/>
      <c r="AR2" s="17"/>
      <c r="AS2" s="180"/>
      <c r="AT2" s="181"/>
      <c r="AU2" s="181"/>
      <c r="AV2" s="181"/>
      <c r="AW2" s="181"/>
      <c r="AX2" s="181"/>
      <c r="AY2" s="181"/>
      <c r="AZ2" s="182"/>
      <c r="BA2" s="7"/>
      <c r="BF2" s="25"/>
      <c r="BG2" s="25"/>
      <c r="BH2" s="25"/>
    </row>
    <row r="3" spans="1:60" s="3" customFormat="1" ht="22.5" customHeight="1" thickBot="1" x14ac:dyDescent="0.3">
      <c r="A3" s="174"/>
      <c r="B3" s="175"/>
      <c r="C3" s="175"/>
      <c r="D3" s="175"/>
      <c r="E3" s="175"/>
      <c r="F3" s="175"/>
      <c r="G3" s="175"/>
      <c r="H3" s="17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183"/>
      <c r="AT3" s="184"/>
      <c r="AU3" s="184"/>
      <c r="AV3" s="184"/>
      <c r="AW3" s="184"/>
      <c r="AX3" s="184"/>
      <c r="AY3" s="184"/>
      <c r="AZ3" s="185"/>
    </row>
    <row r="4" spans="1:60" s="3" customFormat="1" ht="18.75" customHeight="1" thickBot="1" x14ac:dyDescent="0.35">
      <c r="A4" s="189" t="s">
        <v>2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1"/>
      <c r="BA4" s="9"/>
      <c r="BB4" s="9"/>
      <c r="BC4" s="9"/>
    </row>
    <row r="5" spans="1:60" s="3" customFormat="1" ht="22.5" customHeight="1" x14ac:dyDescent="0.3">
      <c r="A5" s="195" t="s">
        <v>3</v>
      </c>
      <c r="B5" s="196"/>
      <c r="C5" s="196"/>
      <c r="D5" s="196"/>
      <c r="E5" s="196"/>
      <c r="F5" s="196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55"/>
      <c r="AD5" s="58"/>
      <c r="AE5" s="106" t="s">
        <v>5</v>
      </c>
      <c r="AF5" s="106"/>
      <c r="AG5" s="106"/>
      <c r="AH5" s="106"/>
      <c r="AI5" s="106"/>
      <c r="AJ5" s="106"/>
      <c r="AK5" s="106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9"/>
      <c r="BA5"/>
      <c r="BB5" s="9"/>
      <c r="BC5" s="9"/>
      <c r="BD5" s="9"/>
    </row>
    <row r="6" spans="1:60" customFormat="1" ht="22.5" customHeight="1" x14ac:dyDescent="0.25">
      <c r="A6" s="195" t="s">
        <v>6</v>
      </c>
      <c r="B6" s="196"/>
      <c r="C6" s="196"/>
      <c r="D6" s="196"/>
      <c r="E6" s="196"/>
      <c r="F6" s="196"/>
      <c r="G6" s="91" t="str">
        <f>IF(G5="","",VLOOKUP(G5,'KM e Tempo Percurso'!A7:O201,4,0))</f>
        <v/>
      </c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186"/>
    </row>
    <row r="7" spans="1:60" s="10" customFormat="1" ht="22.5" customHeight="1" x14ac:dyDescent="0.25">
      <c r="A7" s="195" t="s">
        <v>7</v>
      </c>
      <c r="B7" s="196"/>
      <c r="C7" s="196"/>
      <c r="D7" s="196"/>
      <c r="E7" s="196"/>
      <c r="F7" s="196"/>
      <c r="G7" s="91" t="str">
        <f>IF(G5="","",VLOOKUP(G5,'KM e Tempo Percurso'!A7:O201,5,0))</f>
        <v/>
      </c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57"/>
      <c r="V7" s="161" t="s">
        <v>8</v>
      </c>
      <c r="W7" s="161"/>
      <c r="X7" s="161"/>
      <c r="Y7" s="161"/>
      <c r="Z7" s="91" t="str">
        <f>IF(G5="","",VLOOKUP(G5,'KM e Tempo Percurso'!A7:O201,2,0))</f>
        <v/>
      </c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57"/>
      <c r="AR7" s="161" t="s">
        <v>9</v>
      </c>
      <c r="AS7" s="161"/>
      <c r="AT7" s="161"/>
      <c r="AU7" s="161"/>
      <c r="AV7" s="104" t="str">
        <f>IF(G5="","",VLOOKUP(G5,'KM e Tempo Percurso'!A7:O201,3,0))</f>
        <v/>
      </c>
      <c r="AW7" s="104"/>
      <c r="AX7" s="104"/>
      <c r="AY7" s="104"/>
      <c r="AZ7" s="105"/>
      <c r="BA7"/>
    </row>
    <row r="8" spans="1:60" s="10" customFormat="1" ht="22.5" customHeight="1" x14ac:dyDescent="0.25">
      <c r="A8" s="202" t="s">
        <v>11</v>
      </c>
      <c r="B8" s="203"/>
      <c r="C8" s="203"/>
      <c r="D8" s="203"/>
      <c r="E8" s="203"/>
      <c r="F8" s="203"/>
      <c r="G8" s="204" t="str">
        <f>IF(G5="","",VLOOKUP(G5,'KM e Tempo Percurso'!A7:O201,6,0))</f>
        <v/>
      </c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59"/>
      <c r="AE8" s="162" t="s">
        <v>13</v>
      </c>
      <c r="AF8" s="162"/>
      <c r="AG8" s="162"/>
      <c r="AH8" s="162"/>
      <c r="AI8" s="162"/>
      <c r="AJ8" s="162"/>
      <c r="AK8" s="162"/>
      <c r="AL8" s="93" t="str">
        <f>IF(G5="","",VLOOKUP(G5,'KM e Tempo Percurso'!A7:O201,7,0))</f>
        <v/>
      </c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4"/>
    </row>
    <row r="9" spans="1:60" s="10" customFormat="1" ht="22.5" customHeight="1" x14ac:dyDescent="0.25">
      <c r="A9" s="202" t="s">
        <v>15</v>
      </c>
      <c r="B9" s="203"/>
      <c r="C9" s="203"/>
      <c r="D9" s="203"/>
      <c r="E9" s="203"/>
      <c r="F9" s="203"/>
      <c r="G9" s="206" t="str">
        <f>IF(G5="","",VLOOKUP(G5,'KM e Tempo Percurso'!A7:O201,8,0))</f>
        <v/>
      </c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59"/>
      <c r="AE9" s="106" t="s">
        <v>17</v>
      </c>
      <c r="AF9" s="106"/>
      <c r="AG9" s="106"/>
      <c r="AH9" s="106"/>
      <c r="AI9" s="106"/>
      <c r="AJ9" s="106"/>
      <c r="AK9" s="106"/>
      <c r="AL9" s="192" t="str">
        <f>IF(G5="","",VLOOKUP(G5,'KM e Tempo Percurso'!A7:O201,9,0))</f>
        <v/>
      </c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4"/>
    </row>
    <row r="10" spans="1:60" s="10" customFormat="1" ht="22.5" customHeight="1" x14ac:dyDescent="0.25">
      <c r="A10" s="19" t="s">
        <v>19</v>
      </c>
      <c r="F10" s="10" t="s">
        <v>20</v>
      </c>
      <c r="K10" s="60"/>
      <c r="L10" s="60"/>
      <c r="O10" s="60"/>
      <c r="P10" s="60"/>
      <c r="U10" s="10" t="s">
        <v>21</v>
      </c>
      <c r="W10" s="60"/>
      <c r="AH10" s="10" t="s">
        <v>22</v>
      </c>
      <c r="AQ10" s="24" t="s">
        <v>23</v>
      </c>
      <c r="AZ10" s="20"/>
    </row>
    <row r="11" spans="1:60" s="10" customFormat="1" ht="22.5" customHeight="1" x14ac:dyDescent="0.25">
      <c r="A11" s="19"/>
      <c r="F11" s="10" t="s">
        <v>24</v>
      </c>
      <c r="K11" s="60"/>
      <c r="L11" s="60"/>
      <c r="M11" s="60"/>
      <c r="O11" s="60"/>
      <c r="P11" s="60"/>
      <c r="U11" s="10" t="s">
        <v>25</v>
      </c>
      <c r="W11" s="60"/>
      <c r="AH11" s="10" t="s">
        <v>26</v>
      </c>
      <c r="AK11" s="24"/>
      <c r="AQ11" s="10" t="s">
        <v>27</v>
      </c>
      <c r="AW11"/>
      <c r="AZ11" s="20"/>
    </row>
    <row r="12" spans="1:60" s="10" customFormat="1" ht="22.5" customHeight="1" x14ac:dyDescent="0.25">
      <c r="A12" s="28" t="s">
        <v>28</v>
      </c>
      <c r="B12" s="59"/>
      <c r="C12" s="59"/>
      <c r="D12" s="59"/>
      <c r="E12" s="59"/>
      <c r="F12" s="59"/>
      <c r="G12" s="59"/>
      <c r="H12" s="59"/>
      <c r="I12" s="59"/>
      <c r="J12" s="59"/>
      <c r="K12" s="92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4"/>
    </row>
    <row r="13" spans="1:60" s="10" customFormat="1" ht="22.5" customHeight="1" x14ac:dyDescent="0.25">
      <c r="A13" s="56" t="s">
        <v>29</v>
      </c>
      <c r="B13" s="59"/>
      <c r="C13" s="59"/>
      <c r="D13" s="59"/>
      <c r="E13" s="59"/>
      <c r="F13" s="59"/>
      <c r="G13" s="59"/>
      <c r="H13" s="59"/>
      <c r="I13" s="59"/>
      <c r="J13" s="59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5"/>
    </row>
    <row r="14" spans="1:60" s="10" customFormat="1" ht="11.25" customHeight="1" thickBot="1" x14ac:dyDescent="0.3">
      <c r="A14" s="107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9"/>
      <c r="BC14" s="24"/>
    </row>
    <row r="15" spans="1:60" s="2" customFormat="1" ht="11.25" customHeight="1" thickBot="1" x14ac:dyDescent="0.3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</row>
    <row r="16" spans="1:60" s="10" customFormat="1" ht="18.75" customHeight="1" thickBot="1" x14ac:dyDescent="0.3">
      <c r="A16" s="110" t="s">
        <v>30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2"/>
    </row>
    <row r="17" spans="1:62" s="10" customFormat="1" ht="18.75" customHeight="1" x14ac:dyDescent="0.25">
      <c r="A17" s="199" t="s">
        <v>31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197" t="s">
        <v>32</v>
      </c>
      <c r="N17" s="198"/>
      <c r="O17" s="198"/>
      <c r="P17" s="198"/>
      <c r="Q17" s="198"/>
      <c r="R17" s="116" t="s">
        <v>33</v>
      </c>
      <c r="S17" s="117"/>
      <c r="T17" s="117"/>
      <c r="U17" s="117"/>
      <c r="V17" s="118"/>
      <c r="W17" s="116" t="s">
        <v>34</v>
      </c>
      <c r="X17" s="117"/>
      <c r="Y17" s="117"/>
      <c r="Z17" s="117"/>
      <c r="AA17" s="118"/>
      <c r="AB17" s="116" t="s">
        <v>35</v>
      </c>
      <c r="AC17" s="117"/>
      <c r="AD17" s="117"/>
      <c r="AE17" s="117"/>
      <c r="AF17" s="118"/>
      <c r="AG17" s="116" t="s">
        <v>36</v>
      </c>
      <c r="AH17" s="117"/>
      <c r="AI17" s="117"/>
      <c r="AJ17" s="117"/>
      <c r="AK17" s="118"/>
      <c r="AL17" s="116" t="s">
        <v>37</v>
      </c>
      <c r="AM17" s="117"/>
      <c r="AN17" s="117"/>
      <c r="AO17" s="117"/>
      <c r="AP17" s="118"/>
      <c r="AQ17" s="116" t="s">
        <v>38</v>
      </c>
      <c r="AR17" s="117"/>
      <c r="AS17" s="117"/>
      <c r="AT17" s="117"/>
      <c r="AU17" s="118"/>
      <c r="AV17" s="113" t="s">
        <v>32</v>
      </c>
      <c r="AW17" s="114"/>
      <c r="AX17" s="114"/>
      <c r="AY17" s="114"/>
      <c r="AZ17" s="115"/>
    </row>
    <row r="18" spans="1:62" s="10" customFormat="1" ht="18.75" customHeight="1" thickBot="1" x14ac:dyDescent="0.3">
      <c r="A18" s="228" t="s">
        <v>39</v>
      </c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30"/>
      <c r="M18" s="227"/>
      <c r="N18" s="120"/>
      <c r="O18" s="120"/>
      <c r="P18" s="120"/>
      <c r="Q18" s="120"/>
      <c r="R18" s="119"/>
      <c r="S18" s="120"/>
      <c r="T18" s="120"/>
      <c r="U18" s="120"/>
      <c r="V18" s="120"/>
      <c r="W18" s="119"/>
      <c r="X18" s="120"/>
      <c r="Y18" s="120"/>
      <c r="Z18" s="120"/>
      <c r="AA18" s="120"/>
      <c r="AB18" s="119"/>
      <c r="AC18" s="120"/>
      <c r="AD18" s="120"/>
      <c r="AE18" s="120"/>
      <c r="AF18" s="120"/>
      <c r="AG18" s="119"/>
      <c r="AH18" s="120"/>
      <c r="AI18" s="120"/>
      <c r="AJ18" s="120"/>
      <c r="AK18" s="120"/>
      <c r="AL18" s="119"/>
      <c r="AM18" s="120"/>
      <c r="AN18" s="120"/>
      <c r="AO18" s="120"/>
      <c r="AP18" s="120"/>
      <c r="AQ18" s="119"/>
      <c r="AR18" s="120"/>
      <c r="AS18" s="120"/>
      <c r="AT18" s="120"/>
      <c r="AU18" s="120"/>
      <c r="AV18" s="121"/>
      <c r="AW18" s="287"/>
      <c r="AX18" s="287"/>
      <c r="AY18" s="287"/>
      <c r="AZ18" s="288"/>
      <c r="BD18" s="26"/>
    </row>
    <row r="19" spans="1:62" s="10" customFormat="1" ht="18.75" customHeight="1" x14ac:dyDescent="0.25">
      <c r="A19" s="218" t="s">
        <v>40</v>
      </c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20"/>
      <c r="M19" s="21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210"/>
      <c r="AC19" s="163"/>
      <c r="AD19" s="163"/>
      <c r="AE19" s="163"/>
      <c r="AF19" s="163"/>
      <c r="AG19" s="210"/>
      <c r="AH19" s="163"/>
      <c r="AI19" s="163"/>
      <c r="AJ19" s="163"/>
      <c r="AK19" s="163"/>
      <c r="AL19" s="210"/>
      <c r="AM19" s="163"/>
      <c r="AN19" s="163"/>
      <c r="AO19" s="163"/>
      <c r="AP19" s="163"/>
      <c r="AQ19" s="210"/>
      <c r="AR19" s="163"/>
      <c r="AS19" s="163"/>
      <c r="AT19" s="163"/>
      <c r="AU19" s="163"/>
      <c r="AV19" s="210"/>
      <c r="AW19" s="163"/>
      <c r="AX19" s="163"/>
      <c r="AY19" s="163"/>
      <c r="AZ19" s="231"/>
      <c r="BC19" s="29"/>
      <c r="BD19" s="49"/>
      <c r="BE19" s="30"/>
      <c r="BF19" s="49"/>
      <c r="BG19" s="49"/>
      <c r="BH19" s="49"/>
      <c r="BI19" s="49"/>
      <c r="BJ19" s="49"/>
    </row>
    <row r="20" spans="1:62" s="10" customFormat="1" ht="18.75" customHeight="1" x14ac:dyDescent="0.25">
      <c r="A20" s="221" t="s">
        <v>41</v>
      </c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3"/>
      <c r="M20" s="21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6"/>
      <c r="BC20" s="29"/>
      <c r="BD20" s="31"/>
      <c r="BE20" s="31"/>
      <c r="BF20" s="31"/>
      <c r="BG20" s="31"/>
      <c r="BH20" s="31"/>
      <c r="BI20" s="31"/>
      <c r="BJ20" s="31"/>
    </row>
    <row r="21" spans="1:62" s="10" customFormat="1" ht="18.75" customHeight="1" x14ac:dyDescent="0.25">
      <c r="A21" s="221" t="s">
        <v>42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3"/>
      <c r="M21" s="21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7"/>
      <c r="BC21" s="29"/>
      <c r="BD21" s="90"/>
      <c r="BE21" s="90"/>
      <c r="BF21" s="29"/>
      <c r="BG21" s="29"/>
      <c r="BH21" s="29"/>
      <c r="BI21" s="29"/>
      <c r="BJ21" s="29"/>
    </row>
    <row r="22" spans="1:62" s="10" customFormat="1" ht="18.75" customHeight="1" x14ac:dyDescent="0.25">
      <c r="A22" s="221" t="s">
        <v>43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3"/>
      <c r="M22" s="215" t="str">
        <f>IF(G5="","",VLOOKUP(G5,'KM e Tempo Percurso'!A7:O201,13,0))</f>
        <v/>
      </c>
      <c r="N22" s="165"/>
      <c r="O22" s="165"/>
      <c r="P22" s="165"/>
      <c r="Q22" s="165"/>
      <c r="R22" s="165" t="str">
        <f>IF(G5="","",VLOOKUP(G5,'KM e Tempo Percurso'!A7:O201,13,0))</f>
        <v/>
      </c>
      <c r="S22" s="165"/>
      <c r="T22" s="165"/>
      <c r="U22" s="165"/>
      <c r="V22" s="165"/>
      <c r="W22" s="165" t="str">
        <f>IF(G5="","",VLOOKUP(G5,'KM e Tempo Percurso'!A7:O201,13,0))</f>
        <v/>
      </c>
      <c r="X22" s="165"/>
      <c r="Y22" s="165"/>
      <c r="Z22" s="165"/>
      <c r="AA22" s="165"/>
      <c r="AB22" s="165" t="str">
        <f>IF(G5="","",VLOOKUP(G5,'KM e Tempo Percurso'!A7:O201,13,0))</f>
        <v/>
      </c>
      <c r="AC22" s="165"/>
      <c r="AD22" s="165"/>
      <c r="AE22" s="165"/>
      <c r="AF22" s="165"/>
      <c r="AG22" s="165" t="str">
        <f>IF(G5="","",VLOOKUP(G5,'KM e Tempo Percurso'!A7:O201,13,0))</f>
        <v/>
      </c>
      <c r="AH22" s="165"/>
      <c r="AI22" s="165"/>
      <c r="AJ22" s="165"/>
      <c r="AK22" s="165"/>
      <c r="AL22" s="165" t="str">
        <f>IF(G5="","",VLOOKUP(G5,'KM e Tempo Percurso'!A7:O201,13,0))</f>
        <v/>
      </c>
      <c r="AM22" s="165"/>
      <c r="AN22" s="165"/>
      <c r="AO22" s="165"/>
      <c r="AP22" s="165"/>
      <c r="AQ22" s="165" t="str">
        <f>IF(G5="","",VLOOKUP(G5,'KM e Tempo Percurso'!A7:O201,13,0))</f>
        <v/>
      </c>
      <c r="AR22" s="165"/>
      <c r="AS22" s="165"/>
      <c r="AT22" s="165"/>
      <c r="AU22" s="165"/>
      <c r="AV22" s="165" t="str">
        <f>IF(G5="","",VLOOKUP(G5,'KM e Tempo Percurso'!A7:O201,13,0))</f>
        <v/>
      </c>
      <c r="AW22" s="165"/>
      <c r="AX22" s="165"/>
      <c r="AY22" s="165"/>
      <c r="AZ22" s="167"/>
      <c r="BC22" s="29"/>
      <c r="BD22" s="31"/>
      <c r="BE22" s="31"/>
      <c r="BF22" s="29"/>
      <c r="BG22" s="29"/>
      <c r="BH22" s="29"/>
      <c r="BI22" s="29"/>
      <c r="BJ22" s="29"/>
    </row>
    <row r="23" spans="1:62" s="2" customFormat="1" ht="18.75" customHeight="1" x14ac:dyDescent="0.2">
      <c r="A23" s="221" t="s">
        <v>44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3"/>
      <c r="M23" s="215" t="str">
        <f>IF(G5="","",VLOOKUP(G5,'KM e Tempo Percurso'!A7:O201,14,0))</f>
        <v/>
      </c>
      <c r="N23" s="165"/>
      <c r="O23" s="165"/>
      <c r="P23" s="165"/>
      <c r="Q23" s="165"/>
      <c r="R23" s="165" t="str">
        <f>IF(G5="","",VLOOKUP(G5,'KM e Tempo Percurso'!A7:O201,14,0))</f>
        <v/>
      </c>
      <c r="S23" s="165"/>
      <c r="T23" s="165"/>
      <c r="U23" s="165"/>
      <c r="V23" s="165"/>
      <c r="W23" s="165" t="str">
        <f>IF(G5="","",VLOOKUP(G5,'KM e Tempo Percurso'!A7:O201,14,0))</f>
        <v/>
      </c>
      <c r="X23" s="165"/>
      <c r="Y23" s="165"/>
      <c r="Z23" s="165"/>
      <c r="AA23" s="165"/>
      <c r="AB23" s="165" t="str">
        <f>IF(G5="","",VLOOKUP(G5,'KM e Tempo Percurso'!A7:O201,14,0))</f>
        <v/>
      </c>
      <c r="AC23" s="165"/>
      <c r="AD23" s="165"/>
      <c r="AE23" s="165"/>
      <c r="AF23" s="165"/>
      <c r="AG23" s="165" t="str">
        <f>IF(G5="","",VLOOKUP(G5,'KM e Tempo Percurso'!A7:O201,14,0))</f>
        <v/>
      </c>
      <c r="AH23" s="165"/>
      <c r="AI23" s="165"/>
      <c r="AJ23" s="165"/>
      <c r="AK23" s="165"/>
      <c r="AL23" s="165" t="str">
        <f>IF(G5="","",VLOOKUP(G5,'KM e Tempo Percurso'!A7:O201,14,0))</f>
        <v/>
      </c>
      <c r="AM23" s="165"/>
      <c r="AN23" s="165"/>
      <c r="AO23" s="165"/>
      <c r="AP23" s="165"/>
      <c r="AQ23" s="165" t="str">
        <f>IF(G5="","",VLOOKUP(G5,'KM e Tempo Percurso'!A7:O201,14,0))</f>
        <v/>
      </c>
      <c r="AR23" s="165"/>
      <c r="AS23" s="165"/>
      <c r="AT23" s="165"/>
      <c r="AU23" s="165"/>
      <c r="AV23" s="165" t="str">
        <f>IF(G5="","",VLOOKUP(G5,'KM e Tempo Percurso'!A7:O201,14,0))</f>
        <v/>
      </c>
      <c r="AW23" s="165"/>
      <c r="AX23" s="165"/>
      <c r="AY23" s="165"/>
      <c r="AZ23" s="167"/>
      <c r="BC23" s="32"/>
      <c r="BD23" s="90"/>
      <c r="BE23" s="90"/>
      <c r="BF23" s="32"/>
      <c r="BG23" s="32"/>
      <c r="BH23" s="32"/>
      <c r="BI23" s="32"/>
      <c r="BJ23" s="32"/>
    </row>
    <row r="24" spans="1:62" s="10" customFormat="1" ht="18.75" customHeight="1" x14ac:dyDescent="0.25">
      <c r="A24" s="221" t="s">
        <v>45</v>
      </c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3"/>
      <c r="M24" s="216" t="str">
        <f>IF(G5="","",VLOOKUP(G5,'KM e Tempo Percurso'!A7:O201,10,0))</f>
        <v/>
      </c>
      <c r="N24" s="158"/>
      <c r="O24" s="158"/>
      <c r="P24" s="158"/>
      <c r="Q24" s="158"/>
      <c r="R24" s="158" t="str">
        <f>IF(G5="","",VLOOKUP(G5,'KM e Tempo Percurso'!A7:O201,10,0))</f>
        <v/>
      </c>
      <c r="S24" s="158"/>
      <c r="T24" s="158"/>
      <c r="U24" s="158"/>
      <c r="V24" s="158"/>
      <c r="W24" s="158" t="str">
        <f>IF(G5="","",VLOOKUP(G5,'KM e Tempo Percurso'!A7:O201,10,0))</f>
        <v/>
      </c>
      <c r="X24" s="158"/>
      <c r="Y24" s="158"/>
      <c r="Z24" s="158"/>
      <c r="AA24" s="158"/>
      <c r="AB24" s="158" t="str">
        <f>IF(G5="","",VLOOKUP(G5,'KM e Tempo Percurso'!A7:O201,10,0))</f>
        <v/>
      </c>
      <c r="AC24" s="158"/>
      <c r="AD24" s="158"/>
      <c r="AE24" s="158"/>
      <c r="AF24" s="158"/>
      <c r="AG24" s="158" t="str">
        <f>IF(G5="","",VLOOKUP(G5,'KM e Tempo Percurso'!A7:O201,10,0))</f>
        <v/>
      </c>
      <c r="AH24" s="158"/>
      <c r="AI24" s="158"/>
      <c r="AJ24" s="158"/>
      <c r="AK24" s="158"/>
      <c r="AL24" s="158" t="str">
        <f>IF(G5="","",VLOOKUP(G5,'KM e Tempo Percurso'!A7:O201,10,0))</f>
        <v/>
      </c>
      <c r="AM24" s="158"/>
      <c r="AN24" s="158"/>
      <c r="AO24" s="158"/>
      <c r="AP24" s="158"/>
      <c r="AQ24" s="158" t="str">
        <f>IF(G5="","",VLOOKUP(G5,'KM e Tempo Percurso'!A7:O201,10,0))</f>
        <v/>
      </c>
      <c r="AR24" s="158"/>
      <c r="AS24" s="158"/>
      <c r="AT24" s="158"/>
      <c r="AU24" s="158"/>
      <c r="AV24" s="158" t="str">
        <f>IF(G5="","",VLOOKUP(G5,'KM e Tempo Percurso'!A7:O201,10,0))</f>
        <v/>
      </c>
      <c r="AW24" s="158"/>
      <c r="AX24" s="158"/>
      <c r="AY24" s="158"/>
      <c r="AZ24" s="159"/>
      <c r="BC24" s="29"/>
      <c r="BD24" s="31"/>
      <c r="BE24" s="31"/>
      <c r="BF24" s="29"/>
      <c r="BG24" s="29"/>
      <c r="BH24" s="29"/>
      <c r="BI24" s="29"/>
      <c r="BJ24" s="29"/>
    </row>
    <row r="25" spans="1:62" s="10" customFormat="1" ht="18.75" customHeight="1" thickBot="1" x14ac:dyDescent="0.3">
      <c r="A25" s="224" t="s">
        <v>46</v>
      </c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6"/>
      <c r="M25" s="217" t="str">
        <f>IF(G5="","",VLOOKUP(G5,'KM e Tempo Percurso'!A7:O201,11,0))</f>
        <v/>
      </c>
      <c r="N25" s="157"/>
      <c r="O25" s="157"/>
      <c r="P25" s="157"/>
      <c r="Q25" s="157"/>
      <c r="R25" s="157" t="str">
        <f>IF(G5="","",VLOOKUP(G5,'KM e Tempo Percurso'!A7:O201,11,0))</f>
        <v/>
      </c>
      <c r="S25" s="157"/>
      <c r="T25" s="157"/>
      <c r="U25" s="157"/>
      <c r="V25" s="157"/>
      <c r="W25" s="157" t="str">
        <f>IF(G5="","",VLOOKUP(G5,'KM e Tempo Percurso'!A7:O201,11,0))</f>
        <v/>
      </c>
      <c r="X25" s="157"/>
      <c r="Y25" s="157"/>
      <c r="Z25" s="157"/>
      <c r="AA25" s="157"/>
      <c r="AB25" s="157" t="str">
        <f>IF(G5="","",VLOOKUP(G5,'KM e Tempo Percurso'!A7:O201,11,0))</f>
        <v/>
      </c>
      <c r="AC25" s="157"/>
      <c r="AD25" s="157"/>
      <c r="AE25" s="157"/>
      <c r="AF25" s="157"/>
      <c r="AG25" s="157" t="str">
        <f>IF(G5="","",VLOOKUP(G5,'KM e Tempo Percurso'!A7:O201,11,0))</f>
        <v/>
      </c>
      <c r="AH25" s="157"/>
      <c r="AI25" s="157"/>
      <c r="AJ25" s="157"/>
      <c r="AK25" s="157"/>
      <c r="AL25" s="157" t="str">
        <f>IF(G5="","",VLOOKUP(G5,'KM e Tempo Percurso'!A7:O201,11,0))</f>
        <v/>
      </c>
      <c r="AM25" s="157"/>
      <c r="AN25" s="157"/>
      <c r="AO25" s="157"/>
      <c r="AP25" s="157"/>
      <c r="AQ25" s="157" t="str">
        <f>IF(G5="","",VLOOKUP(G5,'KM e Tempo Percurso'!A7:O201,11,0))</f>
        <v/>
      </c>
      <c r="AR25" s="157"/>
      <c r="AS25" s="157"/>
      <c r="AT25" s="157"/>
      <c r="AU25" s="157"/>
      <c r="AV25" s="157" t="str">
        <f>IF(G5="","",VLOOKUP(G5,'KM e Tempo Percurso'!A7:O201,11,0))</f>
        <v/>
      </c>
      <c r="AW25" s="157"/>
      <c r="AX25" s="157"/>
      <c r="AY25" s="157"/>
      <c r="AZ25" s="160"/>
      <c r="BC25" s="29"/>
      <c r="BD25" s="90"/>
      <c r="BE25" s="90"/>
      <c r="BF25" s="29"/>
      <c r="BG25" s="29"/>
      <c r="BH25" s="29"/>
      <c r="BI25" s="29"/>
      <c r="BJ25" s="29"/>
    </row>
    <row r="26" spans="1:62" s="2" customFormat="1" ht="11.25" customHeight="1" thickBot="1" x14ac:dyDescent="0.3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</row>
    <row r="27" spans="1:62" s="2" customFormat="1" ht="18.75" customHeight="1" thickBot="1" x14ac:dyDescent="0.25">
      <c r="A27" s="189" t="s">
        <v>47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1"/>
    </row>
    <row r="28" spans="1:62" s="2" customFormat="1" ht="18.75" customHeight="1" x14ac:dyDescent="0.2">
      <c r="A28" s="233" t="s">
        <v>48</v>
      </c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5" t="s">
        <v>49</v>
      </c>
      <c r="U28" s="235"/>
      <c r="V28" s="235"/>
      <c r="W28" s="235"/>
      <c r="X28" s="235"/>
      <c r="Y28" s="235"/>
      <c r="Z28" s="235"/>
      <c r="AA28" s="234" t="s">
        <v>48</v>
      </c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5" t="s">
        <v>49</v>
      </c>
      <c r="AU28" s="235"/>
      <c r="AV28" s="235"/>
      <c r="AW28" s="235"/>
      <c r="AX28" s="235"/>
      <c r="AY28" s="235"/>
      <c r="AZ28" s="236"/>
    </row>
    <row r="29" spans="1:62" s="2" customFormat="1" ht="18.75" customHeight="1" x14ac:dyDescent="0.2">
      <c r="A29" s="237" t="s">
        <v>50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9"/>
      <c r="U29" s="239"/>
      <c r="V29" s="239"/>
      <c r="W29" s="239"/>
      <c r="X29" s="239"/>
      <c r="Y29" s="239"/>
      <c r="Z29" s="239"/>
      <c r="AA29" s="238" t="s">
        <v>51</v>
      </c>
      <c r="AB29" s="238"/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239"/>
      <c r="AU29" s="239"/>
      <c r="AV29" s="239"/>
      <c r="AW29" s="239"/>
      <c r="AX29" s="239"/>
      <c r="AY29" s="239"/>
      <c r="AZ29" s="240"/>
    </row>
    <row r="30" spans="1:62" s="2" customFormat="1" ht="18.75" customHeight="1" x14ac:dyDescent="0.2">
      <c r="A30" s="237" t="s">
        <v>52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9"/>
      <c r="U30" s="239"/>
      <c r="V30" s="239"/>
      <c r="W30" s="239"/>
      <c r="X30" s="239"/>
      <c r="Y30" s="239"/>
      <c r="Z30" s="239"/>
      <c r="AA30" s="238" t="s">
        <v>53</v>
      </c>
      <c r="AB30" s="238"/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239"/>
      <c r="AU30" s="239"/>
      <c r="AV30" s="239"/>
      <c r="AW30" s="239"/>
      <c r="AX30" s="239"/>
      <c r="AY30" s="239"/>
      <c r="AZ30" s="240"/>
    </row>
    <row r="31" spans="1:62" s="2" customFormat="1" ht="18.75" customHeight="1" thickBot="1" x14ac:dyDescent="0.25">
      <c r="A31" s="224" t="s">
        <v>54</v>
      </c>
      <c r="B31" s="225"/>
      <c r="C31" s="225"/>
      <c r="D31" s="225"/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41"/>
      <c r="U31" s="241"/>
      <c r="V31" s="241"/>
      <c r="W31" s="241"/>
      <c r="X31" s="241"/>
      <c r="Y31" s="241"/>
      <c r="Z31" s="241"/>
      <c r="AA31" s="225" t="s">
        <v>54</v>
      </c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41"/>
      <c r="AU31" s="241"/>
      <c r="AV31" s="241"/>
      <c r="AW31" s="241"/>
      <c r="AX31" s="241"/>
      <c r="AY31" s="241"/>
      <c r="AZ31" s="242"/>
    </row>
    <row r="32" spans="1:62" s="2" customFormat="1" ht="11.25" customHeight="1" thickBot="1" x14ac:dyDescent="0.25">
      <c r="A32" s="232"/>
      <c r="B32" s="232"/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2"/>
      <c r="AX32" s="232"/>
      <c r="AY32" s="232"/>
      <c r="AZ32" s="232"/>
    </row>
    <row r="33" spans="1:52" s="2" customFormat="1" ht="15" customHeight="1" x14ac:dyDescent="0.2">
      <c r="A33" s="131" t="s">
        <v>55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3"/>
      <c r="S33" s="98" t="s">
        <v>56</v>
      </c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123"/>
      <c r="AH33" s="98" t="s">
        <v>57</v>
      </c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100"/>
    </row>
    <row r="34" spans="1:52" s="2" customFormat="1" ht="15" customHeight="1" x14ac:dyDescent="0.2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6"/>
      <c r="S34" s="101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24"/>
      <c r="AH34" s="101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3"/>
    </row>
    <row r="35" spans="1:52" s="2" customFormat="1" ht="15" customHeight="1" x14ac:dyDescent="0.2">
      <c r="A35" s="125" t="s">
        <v>58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7"/>
      <c r="S35" s="128" t="s">
        <v>59</v>
      </c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30"/>
      <c r="AH35" s="95" t="s">
        <v>60</v>
      </c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7"/>
    </row>
    <row r="36" spans="1:52" s="10" customFormat="1" ht="15" customHeight="1" x14ac:dyDescent="0.25">
      <c r="A36" s="125" t="s">
        <v>61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7"/>
      <c r="S36" s="128" t="s">
        <v>62</v>
      </c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30"/>
      <c r="AH36" s="95" t="s">
        <v>63</v>
      </c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7"/>
    </row>
    <row r="37" spans="1:52" s="10" customFormat="1" ht="15" customHeight="1" x14ac:dyDescent="0.25">
      <c r="A37" s="125" t="s">
        <v>64</v>
      </c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7"/>
      <c r="S37" s="128" t="s">
        <v>65</v>
      </c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30"/>
      <c r="AH37" s="95" t="s">
        <v>66</v>
      </c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7"/>
    </row>
    <row r="38" spans="1:52" s="2" customFormat="1" ht="15" customHeight="1" x14ac:dyDescent="0.2">
      <c r="A38" s="125" t="s">
        <v>67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7"/>
      <c r="S38" s="128" t="s">
        <v>68</v>
      </c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30"/>
      <c r="AH38" s="95" t="s">
        <v>69</v>
      </c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7"/>
    </row>
    <row r="39" spans="1:52" s="2" customFormat="1" ht="15" customHeight="1" x14ac:dyDescent="0.2">
      <c r="A39" s="125" t="s">
        <v>70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7"/>
      <c r="S39" s="128" t="s">
        <v>71</v>
      </c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30"/>
      <c r="AH39" s="148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50"/>
    </row>
    <row r="40" spans="1:52" s="2" customFormat="1" ht="15" customHeight="1" x14ac:dyDescent="0.2">
      <c r="A40" s="125" t="s">
        <v>72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7"/>
      <c r="S40" s="128" t="s">
        <v>73</v>
      </c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30"/>
      <c r="AH40" s="148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50"/>
    </row>
    <row r="41" spans="1:52" s="2" customFormat="1" ht="15" customHeight="1" x14ac:dyDescent="0.2">
      <c r="A41" s="125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7"/>
      <c r="S41" s="128" t="s">
        <v>74</v>
      </c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30"/>
      <c r="AH41" s="148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50"/>
    </row>
    <row r="42" spans="1:52" s="2" customFormat="1" ht="15" customHeight="1" thickBot="1" x14ac:dyDescent="0.25">
      <c r="A42" s="151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3"/>
      <c r="S42" s="137" t="s">
        <v>75</v>
      </c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9"/>
      <c r="AH42" s="154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6"/>
    </row>
    <row r="43" spans="1:52" s="2" customFormat="1" ht="11.25" customHeight="1" thickBot="1" x14ac:dyDescent="0.3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</row>
    <row r="44" spans="1:52" s="2" customFormat="1" ht="18" customHeight="1" x14ac:dyDescent="0.2">
      <c r="A44" s="140" t="s">
        <v>76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2"/>
    </row>
    <row r="45" spans="1:52" s="2" customFormat="1" ht="18" customHeight="1" thickBot="1" x14ac:dyDescent="0.25">
      <c r="A45" s="143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5"/>
    </row>
    <row r="46" spans="1:52" s="2" customFormat="1" ht="18.7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1:52" s="2" customFormat="1" ht="18.75" customHeight="1" x14ac:dyDescent="0.25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"/>
      <c r="R47" s="1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"/>
      <c r="AJ47" s="1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</row>
    <row r="48" spans="1:52" ht="18.75" customHeight="1" x14ac:dyDescent="0.25">
      <c r="A48" s="211" t="s">
        <v>77</v>
      </c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54"/>
      <c r="R48" s="54"/>
      <c r="S48" s="122" t="s">
        <v>78</v>
      </c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54"/>
      <c r="AJ48" s="54"/>
      <c r="AK48" s="211" t="s">
        <v>79</v>
      </c>
      <c r="AL48" s="211"/>
      <c r="AM48" s="211"/>
      <c r="AN48" s="211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</row>
    <row r="49" spans="1:52" ht="18.75" customHeight="1" x14ac:dyDescent="0.25">
      <c r="A49" s="89" t="s">
        <v>80</v>
      </c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S49" s="89" t="s">
        <v>81</v>
      </c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K49" s="212" t="s">
        <v>792</v>
      </c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</row>
    <row r="50" spans="1:52" ht="10.5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2" ht="18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 s="8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2" ht="18" customHeigh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 spans="1:52" ht="18" customHeight="1" x14ac:dyDescent="0.25">
      <c r="A53"/>
      <c r="B53"/>
      <c r="C53"/>
      <c r="D53" s="61" t="s">
        <v>82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52" ht="18" customHeight="1" x14ac:dyDescent="0.25">
      <c r="A54"/>
      <c r="B54"/>
      <c r="C54"/>
      <c r="D54" s="61" t="s">
        <v>83</v>
      </c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 spans="1:52" ht="18" customHeight="1" x14ac:dyDescent="0.25">
      <c r="A55"/>
      <c r="B55"/>
      <c r="C55"/>
      <c r="D55" s="61" t="s">
        <v>84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 spans="1:52" ht="18" customHeight="1" x14ac:dyDescent="0.25">
      <c r="A56"/>
      <c r="B56"/>
      <c r="C56"/>
      <c r="D56" s="61" t="s">
        <v>85</v>
      </c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 spans="1:52" ht="18" customHeight="1" x14ac:dyDescent="0.25">
      <c r="B57"/>
      <c r="C57"/>
      <c r="D57" s="61" t="s">
        <v>86</v>
      </c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1:52" ht="18" customHeight="1" x14ac:dyDescent="0.25">
      <c r="B58"/>
      <c r="C58"/>
      <c r="D58" s="61" t="s">
        <v>87</v>
      </c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1:52" ht="18" customHeight="1" x14ac:dyDescent="0.25">
      <c r="B59"/>
      <c r="C59"/>
      <c r="D59" s="61" t="s">
        <v>88</v>
      </c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 spans="1:52" ht="18" customHeight="1" x14ac:dyDescent="0.25">
      <c r="B60"/>
      <c r="C60"/>
      <c r="D60" s="61" t="s">
        <v>89</v>
      </c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</row>
    <row r="61" spans="1:52" ht="18" customHeight="1" x14ac:dyDescent="0.25">
      <c r="B61"/>
      <c r="C61"/>
      <c r="D61" s="61" t="s">
        <v>794</v>
      </c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 spans="1:52" ht="18" customHeight="1" x14ac:dyDescent="0.25">
      <c r="A62"/>
      <c r="B62"/>
      <c r="C62"/>
      <c r="D62" s="61" t="s">
        <v>90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 spans="1:52" ht="18" customHeight="1" x14ac:dyDescent="0.25">
      <c r="B63"/>
      <c r="C63"/>
      <c r="D63" s="61" t="s">
        <v>793</v>
      </c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 spans="1:52" ht="18" customHeight="1" x14ac:dyDescent="0.25">
      <c r="B64"/>
      <c r="C64"/>
      <c r="D64" s="61" t="s">
        <v>91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 spans="2:52" ht="18" customHeight="1" x14ac:dyDescent="0.25">
      <c r="B65"/>
      <c r="C65"/>
      <c r="D65" s="61" t="s">
        <v>92</v>
      </c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</row>
    <row r="66" spans="2:52" ht="18" customHeight="1" x14ac:dyDescent="0.25">
      <c r="B66"/>
      <c r="C66"/>
      <c r="D66" s="61" t="s">
        <v>93</v>
      </c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2:52" ht="18" customHeight="1" x14ac:dyDescent="0.25">
      <c r="B67"/>
      <c r="C67"/>
      <c r="D67" s="61" t="s">
        <v>94</v>
      </c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 spans="2:52" ht="18" customHeight="1" x14ac:dyDescent="0.25">
      <c r="B68"/>
      <c r="C68"/>
      <c r="D68" s="61" t="s">
        <v>95</v>
      </c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 spans="2:52" ht="18" customHeight="1" x14ac:dyDescent="0.25">
      <c r="B69"/>
      <c r="C69"/>
      <c r="D69" s="61" t="s">
        <v>780</v>
      </c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 spans="2:52" ht="18" customHeight="1" x14ac:dyDescent="0.25">
      <c r="B70"/>
      <c r="C70"/>
      <c r="D70" s="61" t="s">
        <v>96</v>
      </c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</row>
    <row r="71" spans="2:52" ht="18" customHeight="1" x14ac:dyDescent="0.25">
      <c r="B71"/>
      <c r="C71"/>
      <c r="D71" s="61" t="s">
        <v>97</v>
      </c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 spans="2:52" ht="18" customHeight="1" x14ac:dyDescent="0.25">
      <c r="B72"/>
      <c r="C72"/>
      <c r="D72" s="61" t="s">
        <v>98</v>
      </c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</row>
    <row r="73" spans="2:52" ht="18" customHeight="1" x14ac:dyDescent="0.25">
      <c r="B73"/>
      <c r="C73"/>
      <c r="D73" s="61" t="s">
        <v>99</v>
      </c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</row>
    <row r="74" spans="2:52" ht="18" customHeight="1" x14ac:dyDescent="0.25">
      <c r="B74"/>
      <c r="C74"/>
      <c r="D74" s="61" t="s">
        <v>100</v>
      </c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</row>
    <row r="75" spans="2:52" ht="18" customHeight="1" x14ac:dyDescent="0.25">
      <c r="D75" s="61" t="s">
        <v>101</v>
      </c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</row>
    <row r="76" spans="2:52" ht="18" customHeight="1" x14ac:dyDescent="0.25">
      <c r="D76" s="61" t="s">
        <v>102</v>
      </c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</row>
    <row r="77" spans="2:52" ht="18" customHeight="1" x14ac:dyDescent="0.25">
      <c r="D77" s="61" t="s">
        <v>795</v>
      </c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</row>
    <row r="78" spans="2:52" ht="18" customHeight="1" x14ac:dyDescent="0.25">
      <c r="D78" s="61" t="s">
        <v>103</v>
      </c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D53:D78">
    <sortCondition ref="D53:D78"/>
  </sortState>
  <dataConsolidate function="count"/>
  <mergeCells count="171">
    <mergeCell ref="R18:V18"/>
    <mergeCell ref="M18:Q18"/>
    <mergeCell ref="A18:L18"/>
    <mergeCell ref="AV19:AZ19"/>
    <mergeCell ref="A32:AZ32"/>
    <mergeCell ref="A26:AZ26"/>
    <mergeCell ref="A27:AZ27"/>
    <mergeCell ref="A28:S28"/>
    <mergeCell ref="T28:Z28"/>
    <mergeCell ref="AA28:AS28"/>
    <mergeCell ref="AT28:AZ28"/>
    <mergeCell ref="A29:S29"/>
    <mergeCell ref="T29:Z29"/>
    <mergeCell ref="AA29:AS29"/>
    <mergeCell ref="AT29:AZ29"/>
    <mergeCell ref="A30:S30"/>
    <mergeCell ref="T30:Z30"/>
    <mergeCell ref="AA30:AS30"/>
    <mergeCell ref="AT30:AZ30"/>
    <mergeCell ref="A31:S31"/>
    <mergeCell ref="T31:Z31"/>
    <mergeCell ref="AA31:AS31"/>
    <mergeCell ref="AT31:AZ31"/>
    <mergeCell ref="AV22:AZ22"/>
    <mergeCell ref="A47:P47"/>
    <mergeCell ref="AK47:AZ47"/>
    <mergeCell ref="AK48:AZ48"/>
    <mergeCell ref="A48:P48"/>
    <mergeCell ref="AK49:AZ49"/>
    <mergeCell ref="A49:P49"/>
    <mergeCell ref="M19:Q19"/>
    <mergeCell ref="M20:Q20"/>
    <mergeCell ref="M21:Q21"/>
    <mergeCell ref="M22:Q22"/>
    <mergeCell ref="M23:Q23"/>
    <mergeCell ref="M24:Q24"/>
    <mergeCell ref="M25:Q25"/>
    <mergeCell ref="A19:L19"/>
    <mergeCell ref="A20:L20"/>
    <mergeCell ref="A21:L21"/>
    <mergeCell ref="A22:L22"/>
    <mergeCell ref="A23:L23"/>
    <mergeCell ref="A24:L24"/>
    <mergeCell ref="A25:L25"/>
    <mergeCell ref="AB19:AF19"/>
    <mergeCell ref="AB20:AF20"/>
    <mergeCell ref="W19:AA19"/>
    <mergeCell ref="AB22:AF22"/>
    <mergeCell ref="AB23:AF23"/>
    <mergeCell ref="AB24:AF24"/>
    <mergeCell ref="Z7:AP7"/>
    <mergeCell ref="AV23:AZ23"/>
    <mergeCell ref="AQ19:AU19"/>
    <mergeCell ref="AQ20:AU20"/>
    <mergeCell ref="AQ21:AU21"/>
    <mergeCell ref="AQ22:AU22"/>
    <mergeCell ref="AQ23:AU23"/>
    <mergeCell ref="W20:AA20"/>
    <mergeCell ref="W21:AA21"/>
    <mergeCell ref="W22:AA22"/>
    <mergeCell ref="W23:AA23"/>
    <mergeCell ref="AL19:AP19"/>
    <mergeCell ref="AL20:AP20"/>
    <mergeCell ref="AL21:AP21"/>
    <mergeCell ref="AL22:AP22"/>
    <mergeCell ref="AL23:AP23"/>
    <mergeCell ref="AG19:AK19"/>
    <mergeCell ref="A1:H3"/>
    <mergeCell ref="AS1:AZ3"/>
    <mergeCell ref="G6:AZ6"/>
    <mergeCell ref="K2:AP2"/>
    <mergeCell ref="A4:AZ4"/>
    <mergeCell ref="AL9:AZ9"/>
    <mergeCell ref="A5:F5"/>
    <mergeCell ref="R17:V17"/>
    <mergeCell ref="M17:Q17"/>
    <mergeCell ref="A17:L17"/>
    <mergeCell ref="AE5:AK5"/>
    <mergeCell ref="G5:AB5"/>
    <mergeCell ref="A6:F6"/>
    <mergeCell ref="A7:F7"/>
    <mergeCell ref="A8:F8"/>
    <mergeCell ref="A9:F9"/>
    <mergeCell ref="G8:AC8"/>
    <mergeCell ref="V7:Y7"/>
    <mergeCell ref="G9:AC9"/>
    <mergeCell ref="AL8:AZ8"/>
    <mergeCell ref="AL5:AZ5"/>
    <mergeCell ref="A38:R38"/>
    <mergeCell ref="AR7:AU7"/>
    <mergeCell ref="AE8:AK8"/>
    <mergeCell ref="AV7:AZ7"/>
    <mergeCell ref="S40:AG40"/>
    <mergeCell ref="A39:R39"/>
    <mergeCell ref="R19:V19"/>
    <mergeCell ref="R20:V20"/>
    <mergeCell ref="R21:V21"/>
    <mergeCell ref="R22:V22"/>
    <mergeCell ref="R23:V23"/>
    <mergeCell ref="R24:V24"/>
    <mergeCell ref="AG20:AK20"/>
    <mergeCell ref="AG21:AK21"/>
    <mergeCell ref="AG22:AK22"/>
    <mergeCell ref="AG23:AK23"/>
    <mergeCell ref="AG18:AK18"/>
    <mergeCell ref="AB18:AF18"/>
    <mergeCell ref="AB21:AF21"/>
    <mergeCell ref="W18:AA18"/>
    <mergeCell ref="A15:AZ15"/>
    <mergeCell ref="AG24:AK24"/>
    <mergeCell ref="AV20:AZ20"/>
    <mergeCell ref="AV21:AZ21"/>
    <mergeCell ref="R25:V25"/>
    <mergeCell ref="AV24:AZ24"/>
    <mergeCell ref="AV25:AZ25"/>
    <mergeCell ref="AQ24:AU24"/>
    <mergeCell ref="AQ25:AU25"/>
    <mergeCell ref="W24:AA24"/>
    <mergeCell ref="W25:AA25"/>
    <mergeCell ref="AL24:AP24"/>
    <mergeCell ref="AL25:AP25"/>
    <mergeCell ref="AB25:AF25"/>
    <mergeCell ref="AG25:AK25"/>
    <mergeCell ref="S48:AH48"/>
    <mergeCell ref="S33:AG34"/>
    <mergeCell ref="AH36:AZ36"/>
    <mergeCell ref="A36:R36"/>
    <mergeCell ref="A37:R37"/>
    <mergeCell ref="A35:R35"/>
    <mergeCell ref="S35:AG35"/>
    <mergeCell ref="A33:R34"/>
    <mergeCell ref="S42:AG42"/>
    <mergeCell ref="S41:AG41"/>
    <mergeCell ref="A44:AZ45"/>
    <mergeCell ref="A43:AZ43"/>
    <mergeCell ref="S47:AH47"/>
    <mergeCell ref="AH39:AZ39"/>
    <mergeCell ref="S36:AG36"/>
    <mergeCell ref="A40:R40"/>
    <mergeCell ref="A42:R42"/>
    <mergeCell ref="S39:AG39"/>
    <mergeCell ref="S38:AG38"/>
    <mergeCell ref="S37:AG37"/>
    <mergeCell ref="AH42:AZ42"/>
    <mergeCell ref="AH41:AZ41"/>
    <mergeCell ref="AH40:AZ40"/>
    <mergeCell ref="A41:R41"/>
    <mergeCell ref="S49:U49"/>
    <mergeCell ref="V49:AH49"/>
    <mergeCell ref="BD21:BE21"/>
    <mergeCell ref="BD23:BE23"/>
    <mergeCell ref="BD25:BE25"/>
    <mergeCell ref="G7:T7"/>
    <mergeCell ref="K12:AZ12"/>
    <mergeCell ref="AH37:AZ37"/>
    <mergeCell ref="AH38:AZ38"/>
    <mergeCell ref="AH33:AZ34"/>
    <mergeCell ref="AH35:AZ35"/>
    <mergeCell ref="K13:AZ13"/>
    <mergeCell ref="AE9:AK9"/>
    <mergeCell ref="A14:AZ14"/>
    <mergeCell ref="A16:AZ16"/>
    <mergeCell ref="AV17:AZ17"/>
    <mergeCell ref="AQ17:AU17"/>
    <mergeCell ref="AL17:AP17"/>
    <mergeCell ref="AG17:AK17"/>
    <mergeCell ref="AB17:AF17"/>
    <mergeCell ref="W17:AA17"/>
    <mergeCell ref="AV18:AZ18"/>
    <mergeCell ref="AQ18:AU18"/>
    <mergeCell ref="AL18:AP18"/>
  </mergeCells>
  <phoneticPr fontId="0" type="noConversion"/>
  <dataValidations count="1">
    <dataValidation type="list" allowBlank="1" showInputMessage="1" showErrorMessage="1" sqref="V49:AH49" xr:uid="{52CE05CD-8641-4F21-BF82-F011BC789A33}">
      <formula1>$D$53:$D$79</formula1>
    </dataValidation>
  </dataValidations>
  <printOptions horizontalCentered="1" verticalCentered="1"/>
  <pageMargins left="0.59055118110236227" right="0.19685039370078741" top="0.19685039370078741" bottom="0.19685039370078741" header="0" footer="0"/>
  <pageSetup paperSize="9" scale="90" orientation="portrait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'KM e Tempo Percurso'!$A$7:$A$121</xm:f>
          </x14:formula1>
          <xm:sqref>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BH50"/>
  <sheetViews>
    <sheetView showGridLines="0" view="pageBreakPreview" zoomScaleNormal="75" zoomScaleSheetLayoutView="100" workbookViewId="0">
      <selection activeCell="O20" sqref="O20"/>
    </sheetView>
  </sheetViews>
  <sheetFormatPr defaultColWidth="1.6640625" defaultRowHeight="18" customHeight="1" x14ac:dyDescent="0.25"/>
  <cols>
    <col min="1" max="52" width="1.88671875" style="3" customWidth="1"/>
    <col min="53" max="54" width="1.6640625" style="3" customWidth="1"/>
    <col min="55" max="16384" width="1.6640625" style="3"/>
  </cols>
  <sheetData>
    <row r="1" spans="1:60" ht="22.5" customHeight="1" x14ac:dyDescent="0.25">
      <c r="A1" s="168"/>
      <c r="B1" s="169"/>
      <c r="C1" s="169"/>
      <c r="D1" s="169"/>
      <c r="E1" s="169"/>
      <c r="F1" s="169"/>
      <c r="G1" s="169"/>
      <c r="H1" s="170"/>
      <c r="I1" s="16"/>
      <c r="J1" s="16"/>
      <c r="K1" s="21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177" t="s">
        <v>0</v>
      </c>
      <c r="AT1" s="178"/>
      <c r="AU1" s="178"/>
      <c r="AV1" s="178"/>
      <c r="AW1" s="178"/>
      <c r="AX1" s="178"/>
      <c r="AY1" s="178"/>
      <c r="AZ1" s="179"/>
      <c r="BD1" s="23"/>
      <c r="BF1" s="27"/>
      <c r="BG1" s="27"/>
    </row>
    <row r="2" spans="1:60" ht="22.5" customHeight="1" x14ac:dyDescent="0.25">
      <c r="A2" s="171"/>
      <c r="B2" s="172"/>
      <c r="C2" s="172"/>
      <c r="D2" s="172"/>
      <c r="E2" s="172"/>
      <c r="F2" s="172"/>
      <c r="G2" s="172"/>
      <c r="H2" s="173"/>
      <c r="K2" s="187" t="s">
        <v>1</v>
      </c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17"/>
      <c r="AR2" s="17"/>
      <c r="AS2" s="180"/>
      <c r="AT2" s="181"/>
      <c r="AU2" s="181"/>
      <c r="AV2" s="181"/>
      <c r="AW2" s="181"/>
      <c r="AX2" s="181"/>
      <c r="AY2" s="181"/>
      <c r="AZ2" s="182"/>
      <c r="BA2" s="7"/>
      <c r="BF2" s="25"/>
      <c r="BG2" s="25"/>
      <c r="BH2" s="25"/>
    </row>
    <row r="3" spans="1:60" ht="22.5" customHeight="1" thickBot="1" x14ac:dyDescent="0.3">
      <c r="A3" s="174"/>
      <c r="B3" s="175"/>
      <c r="C3" s="175"/>
      <c r="D3" s="175"/>
      <c r="E3" s="175"/>
      <c r="F3" s="175"/>
      <c r="G3" s="175"/>
      <c r="H3" s="17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183"/>
      <c r="AT3" s="184"/>
      <c r="AU3" s="184"/>
      <c r="AV3" s="184"/>
      <c r="AW3" s="184"/>
      <c r="AX3" s="184"/>
      <c r="AY3" s="184"/>
      <c r="AZ3" s="185"/>
    </row>
    <row r="4" spans="1:60" ht="18.75" customHeight="1" thickBot="1" x14ac:dyDescent="0.35">
      <c r="A4" s="189" t="s">
        <v>2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1"/>
      <c r="BA4" s="9"/>
      <c r="BB4" s="9"/>
      <c r="BC4" s="9"/>
    </row>
    <row r="5" spans="1:60" ht="18.75" customHeight="1" x14ac:dyDescent="0.3">
      <c r="A5" s="253" t="s">
        <v>104</v>
      </c>
      <c r="B5" s="254"/>
      <c r="C5" s="254"/>
      <c r="D5" s="11"/>
      <c r="E5" s="6" t="s">
        <v>105</v>
      </c>
      <c r="F5" s="6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2"/>
      <c r="BA5" s="9"/>
      <c r="BB5" s="9"/>
      <c r="BC5" s="9"/>
    </row>
    <row r="6" spans="1:60" s="5" customFormat="1" ht="18.75" customHeight="1" x14ac:dyDescent="0.25">
      <c r="A6" s="248"/>
      <c r="B6" s="249"/>
      <c r="C6" s="249"/>
      <c r="D6" s="10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6"/>
    </row>
    <row r="7" spans="1:60" s="5" customFormat="1" ht="18.75" customHeight="1" x14ac:dyDescent="0.25">
      <c r="A7" s="248"/>
      <c r="B7" s="249"/>
      <c r="C7" s="249"/>
      <c r="D7" s="10"/>
      <c r="E7" s="86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8"/>
    </row>
    <row r="8" spans="1:60" s="5" customFormat="1" ht="18.75" customHeight="1" x14ac:dyDescent="0.25">
      <c r="A8" s="257"/>
      <c r="B8" s="258"/>
      <c r="C8" s="258"/>
      <c r="D8" s="10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8"/>
    </row>
    <row r="9" spans="1:60" s="5" customFormat="1" ht="18.75" customHeight="1" x14ac:dyDescent="0.25">
      <c r="A9" s="257"/>
      <c r="B9" s="258"/>
      <c r="C9" s="258"/>
      <c r="D9" s="1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1"/>
    </row>
    <row r="10" spans="1:60" s="5" customFormat="1" ht="18.75" customHeight="1" x14ac:dyDescent="0.25">
      <c r="A10" s="257"/>
      <c r="B10" s="258"/>
      <c r="C10" s="258"/>
      <c r="D10" s="10"/>
      <c r="E10" s="86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8"/>
    </row>
    <row r="11" spans="1:60" s="5" customFormat="1" ht="18.75" customHeight="1" x14ac:dyDescent="0.25">
      <c r="A11" s="248"/>
      <c r="B11" s="249"/>
      <c r="C11" s="249"/>
      <c r="D11" s="10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8"/>
    </row>
    <row r="12" spans="1:60" s="5" customFormat="1" ht="18.75" customHeight="1" x14ac:dyDescent="0.25">
      <c r="A12" s="248"/>
      <c r="B12" s="249"/>
      <c r="C12" s="249"/>
      <c r="D12" s="10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8"/>
    </row>
    <row r="13" spans="1:60" s="5" customFormat="1" ht="18.75" customHeight="1" x14ac:dyDescent="0.25">
      <c r="A13" s="248"/>
      <c r="B13" s="249"/>
      <c r="C13" s="249"/>
      <c r="D13" s="10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8"/>
    </row>
    <row r="14" spans="1:60" s="5" customFormat="1" ht="18.75" customHeight="1" x14ac:dyDescent="0.25">
      <c r="A14" s="248"/>
      <c r="B14" s="249"/>
      <c r="C14" s="249"/>
      <c r="D14" s="10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8"/>
    </row>
    <row r="15" spans="1:60" s="5" customFormat="1" ht="18.75" customHeight="1" x14ac:dyDescent="0.25">
      <c r="A15" s="248"/>
      <c r="B15" s="249"/>
      <c r="C15" s="249"/>
      <c r="D15" s="10"/>
      <c r="E15" s="86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8"/>
    </row>
    <row r="16" spans="1:60" s="5" customFormat="1" ht="18.75" customHeight="1" x14ac:dyDescent="0.25">
      <c r="A16" s="248"/>
      <c r="B16" s="249"/>
      <c r="C16" s="249"/>
      <c r="D16" s="10"/>
      <c r="E16" s="86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8"/>
    </row>
    <row r="17" spans="1:52" s="5" customFormat="1" ht="18.75" customHeight="1" x14ac:dyDescent="0.25">
      <c r="A17" s="248"/>
      <c r="B17" s="249"/>
      <c r="C17" s="249"/>
      <c r="D17" s="10"/>
      <c r="E17" s="86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8"/>
    </row>
    <row r="18" spans="1:52" s="5" customFormat="1" ht="18.75" customHeight="1" x14ac:dyDescent="0.25">
      <c r="A18" s="248"/>
      <c r="B18" s="249"/>
      <c r="C18" s="249"/>
      <c r="D18" s="10"/>
      <c r="E18" s="86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8"/>
    </row>
    <row r="19" spans="1:52" s="5" customFormat="1" ht="18.75" customHeight="1" x14ac:dyDescent="0.25">
      <c r="A19" s="248"/>
      <c r="B19" s="249"/>
      <c r="C19" s="249"/>
      <c r="D19" s="10"/>
      <c r="E19" s="86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8"/>
    </row>
    <row r="20" spans="1:52" s="5" customFormat="1" ht="18.75" customHeight="1" x14ac:dyDescent="0.25">
      <c r="A20" s="248"/>
      <c r="B20" s="249"/>
      <c r="C20" s="249"/>
      <c r="D20" s="10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8"/>
    </row>
    <row r="21" spans="1:52" s="5" customFormat="1" ht="18.75" customHeight="1" x14ac:dyDescent="0.25">
      <c r="A21" s="248"/>
      <c r="B21" s="249"/>
      <c r="C21" s="249"/>
      <c r="D21" s="10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8"/>
    </row>
    <row r="22" spans="1:52" s="5" customFormat="1" ht="18.75" customHeight="1" x14ac:dyDescent="0.25">
      <c r="A22" s="248"/>
      <c r="B22" s="249"/>
      <c r="C22" s="249"/>
      <c r="D22" s="10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8"/>
    </row>
    <row r="23" spans="1:52" s="5" customFormat="1" ht="18.75" customHeight="1" x14ac:dyDescent="0.25">
      <c r="A23" s="248"/>
      <c r="B23" s="249"/>
      <c r="C23" s="249"/>
      <c r="D23" s="10"/>
      <c r="E23" s="86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8"/>
    </row>
    <row r="24" spans="1:52" s="5" customFormat="1" ht="18.75" customHeight="1" x14ac:dyDescent="0.25">
      <c r="A24" s="248"/>
      <c r="B24" s="249"/>
      <c r="C24" s="249"/>
      <c r="D24" s="10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8"/>
    </row>
    <row r="25" spans="1:52" s="5" customFormat="1" ht="18.75" customHeight="1" x14ac:dyDescent="0.25">
      <c r="A25" s="248"/>
      <c r="B25" s="249"/>
      <c r="C25" s="249"/>
      <c r="D25" s="10"/>
      <c r="E25" s="86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8"/>
    </row>
    <row r="26" spans="1:52" s="5" customFormat="1" ht="18.75" customHeight="1" x14ac:dyDescent="0.25">
      <c r="A26" s="248"/>
      <c r="B26" s="249"/>
      <c r="C26" s="249"/>
      <c r="D26" s="10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  <c r="AW26" s="243"/>
      <c r="AX26" s="243"/>
      <c r="AY26" s="243"/>
      <c r="AZ26" s="244"/>
    </row>
    <row r="27" spans="1:52" s="5" customFormat="1" ht="18.75" customHeight="1" x14ac:dyDescent="0.25">
      <c r="A27" s="248"/>
      <c r="B27" s="249"/>
      <c r="C27" s="249"/>
      <c r="D27" s="10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3"/>
      <c r="AX27" s="243"/>
      <c r="AY27" s="243"/>
      <c r="AZ27" s="244"/>
    </row>
    <row r="28" spans="1:52" s="5" customFormat="1" ht="18.75" customHeight="1" x14ac:dyDescent="0.25">
      <c r="A28" s="248"/>
      <c r="B28" s="249"/>
      <c r="C28" s="249"/>
      <c r="D28" s="10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3"/>
      <c r="AX28" s="243"/>
      <c r="AY28" s="243"/>
      <c r="AZ28" s="244"/>
    </row>
    <row r="29" spans="1:52" s="5" customFormat="1" ht="18.75" customHeight="1" x14ac:dyDescent="0.25">
      <c r="A29" s="248"/>
      <c r="B29" s="249"/>
      <c r="C29" s="249"/>
      <c r="D29" s="10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3"/>
      <c r="AX29" s="243"/>
      <c r="AY29" s="243"/>
      <c r="AZ29" s="244"/>
    </row>
    <row r="30" spans="1:52" s="5" customFormat="1" ht="18.75" customHeight="1" x14ac:dyDescent="0.25">
      <c r="A30" s="248"/>
      <c r="B30" s="249"/>
      <c r="C30" s="249"/>
      <c r="D30" s="10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3"/>
      <c r="AX30" s="243"/>
      <c r="AY30" s="243"/>
      <c r="AZ30" s="244"/>
    </row>
    <row r="31" spans="1:52" s="5" customFormat="1" ht="18.75" customHeight="1" x14ac:dyDescent="0.25">
      <c r="A31" s="248"/>
      <c r="B31" s="249"/>
      <c r="C31" s="249"/>
      <c r="D31" s="10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3"/>
      <c r="AY31" s="243"/>
      <c r="AZ31" s="244"/>
    </row>
    <row r="32" spans="1:52" s="5" customFormat="1" ht="18.75" customHeight="1" x14ac:dyDescent="0.25">
      <c r="A32" s="248"/>
      <c r="B32" s="249"/>
      <c r="C32" s="249"/>
      <c r="D32" s="10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3"/>
      <c r="AX32" s="243"/>
      <c r="AY32" s="243"/>
      <c r="AZ32" s="244"/>
    </row>
    <row r="33" spans="1:53" s="5" customFormat="1" ht="18.75" customHeight="1" x14ac:dyDescent="0.25">
      <c r="A33" s="248"/>
      <c r="B33" s="249"/>
      <c r="C33" s="249"/>
      <c r="D33" s="10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4"/>
    </row>
    <row r="34" spans="1:53" s="5" customFormat="1" ht="18.75" customHeight="1" x14ac:dyDescent="0.25">
      <c r="A34" s="248"/>
      <c r="B34" s="249"/>
      <c r="C34" s="249"/>
      <c r="D34" s="10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4"/>
    </row>
    <row r="35" spans="1:53" s="5" customFormat="1" ht="18.75" customHeight="1" x14ac:dyDescent="0.25">
      <c r="A35" s="248"/>
      <c r="B35" s="249"/>
      <c r="C35" s="249"/>
      <c r="D35" s="10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3"/>
      <c r="AX35" s="243"/>
      <c r="AY35" s="243"/>
      <c r="AZ35" s="244"/>
    </row>
    <row r="36" spans="1:53" s="5" customFormat="1" ht="18.75" customHeight="1" x14ac:dyDescent="0.25">
      <c r="A36" s="248"/>
      <c r="B36" s="249"/>
      <c r="C36" s="249"/>
      <c r="D36" s="10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3"/>
      <c r="AX36" s="243"/>
      <c r="AY36" s="243"/>
      <c r="AZ36" s="244"/>
    </row>
    <row r="37" spans="1:53" s="5" customFormat="1" ht="18.75" customHeight="1" x14ac:dyDescent="0.25">
      <c r="A37" s="248"/>
      <c r="B37" s="249"/>
      <c r="C37" s="249"/>
      <c r="D37" s="10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  <c r="AU37" s="243"/>
      <c r="AV37" s="243"/>
      <c r="AW37" s="243"/>
      <c r="AX37" s="243"/>
      <c r="AY37" s="243"/>
      <c r="AZ37" s="244"/>
    </row>
    <row r="38" spans="1:53" s="5" customFormat="1" ht="18.75" customHeight="1" x14ac:dyDescent="0.25">
      <c r="A38" s="248"/>
      <c r="B38" s="249"/>
      <c r="C38" s="249"/>
      <c r="D38" s="10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4"/>
    </row>
    <row r="39" spans="1:53" s="5" customFormat="1" ht="18.75" customHeight="1" x14ac:dyDescent="0.25">
      <c r="A39" s="248"/>
      <c r="B39" s="249"/>
      <c r="C39" s="249"/>
      <c r="D39" s="10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4"/>
    </row>
    <row r="40" spans="1:53" s="5" customFormat="1" ht="18.75" customHeight="1" x14ac:dyDescent="0.25">
      <c r="A40" s="248"/>
      <c r="B40" s="249"/>
      <c r="C40" s="249"/>
      <c r="D40" s="10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/>
      <c r="AX40" s="243"/>
      <c r="AY40" s="243"/>
      <c r="AZ40" s="244"/>
    </row>
    <row r="41" spans="1:53" s="5" customFormat="1" ht="18.75" customHeight="1" x14ac:dyDescent="0.25">
      <c r="A41" s="248"/>
      <c r="B41" s="249"/>
      <c r="C41" s="249"/>
      <c r="D41" s="10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3"/>
      <c r="AX41" s="243"/>
      <c r="AY41" s="243"/>
      <c r="AZ41" s="244"/>
    </row>
    <row r="42" spans="1:53" s="5" customFormat="1" ht="18.75" customHeight="1" x14ac:dyDescent="0.25">
      <c r="A42" s="248"/>
      <c r="B42" s="249"/>
      <c r="C42" s="249"/>
      <c r="D42" s="10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4"/>
    </row>
    <row r="43" spans="1:53" s="5" customFormat="1" ht="18.75" customHeight="1" thickBot="1" x14ac:dyDescent="0.3">
      <c r="A43" s="62"/>
      <c r="B43" s="63"/>
      <c r="C43" s="63"/>
      <c r="D43" s="18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4"/>
      <c r="BA43"/>
    </row>
    <row r="44" spans="1:53" s="2" customFormat="1" ht="18.7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1:53" s="2" customFormat="1" ht="18.75" customHeight="1" x14ac:dyDescent="0.25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"/>
      <c r="R45" s="1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"/>
      <c r="AJ45" s="1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</row>
    <row r="46" spans="1:53" s="1" customFormat="1" ht="18.75" customHeight="1" x14ac:dyDescent="0.25">
      <c r="A46" s="211" t="s">
        <v>77</v>
      </c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54"/>
      <c r="R46" s="54"/>
      <c r="S46" s="122" t="s">
        <v>78</v>
      </c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54"/>
      <c r="AJ46" s="54"/>
      <c r="AK46" s="211" t="s">
        <v>79</v>
      </c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</row>
    <row r="47" spans="1:53" s="1" customFormat="1" ht="18.75" customHeight="1" x14ac:dyDescent="0.25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S47" s="245"/>
      <c r="T47" s="245"/>
      <c r="U47" s="245"/>
      <c r="V47" s="246"/>
      <c r="W47" s="247"/>
      <c r="X47" s="247"/>
      <c r="Y47" s="247"/>
      <c r="Z47" s="247"/>
      <c r="AA47" s="247"/>
      <c r="AB47" s="247"/>
      <c r="AC47" s="247"/>
      <c r="AD47" s="247"/>
      <c r="AE47" s="247"/>
      <c r="AF47" s="247"/>
      <c r="AG47" s="247"/>
      <c r="AH47" s="247"/>
      <c r="AK47" s="212" t="s">
        <v>792</v>
      </c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</row>
    <row r="48" spans="1:53" s="5" customFormat="1" ht="18" customHeight="1" x14ac:dyDescent="0.25"/>
    <row r="49" s="5" customFormat="1" ht="18" customHeight="1" x14ac:dyDescent="0.25"/>
    <row r="50" s="5" customFormat="1" ht="18" customHeight="1" x14ac:dyDescent="0.25"/>
  </sheetData>
  <mergeCells count="71">
    <mergeCell ref="A8:C8"/>
    <mergeCell ref="A9:C9"/>
    <mergeCell ref="A10:C10"/>
    <mergeCell ref="A11:C11"/>
    <mergeCell ref="A12:C12"/>
    <mergeCell ref="A13:C13"/>
    <mergeCell ref="A45:P45"/>
    <mergeCell ref="S45:AH45"/>
    <mergeCell ref="AK45:AZ45"/>
    <mergeCell ref="A14:C14"/>
    <mergeCell ref="A17:C17"/>
    <mergeCell ref="A15:C15"/>
    <mergeCell ref="A16:C16"/>
    <mergeCell ref="A20:C20"/>
    <mergeCell ref="A42:C42"/>
    <mergeCell ref="A33:C33"/>
    <mergeCell ref="A34:C34"/>
    <mergeCell ref="A27:C27"/>
    <mergeCell ref="A28:C28"/>
    <mergeCell ref="A40:C40"/>
    <mergeCell ref="A21:C21"/>
    <mergeCell ref="A4:AZ4"/>
    <mergeCell ref="K2:AP2"/>
    <mergeCell ref="A5:C5"/>
    <mergeCell ref="E6:AZ6"/>
    <mergeCell ref="A1:H3"/>
    <mergeCell ref="AS1:AZ3"/>
    <mergeCell ref="A6:C6"/>
    <mergeCell ref="A7:C7"/>
    <mergeCell ref="E9:AZ9"/>
    <mergeCell ref="A31:C31"/>
    <mergeCell ref="A41:C41"/>
    <mergeCell ref="A38:C38"/>
    <mergeCell ref="A36:C36"/>
    <mergeCell ref="A35:C35"/>
    <mergeCell ref="A37:C37"/>
    <mergeCell ref="A39:C39"/>
    <mergeCell ref="A18:C18"/>
    <mergeCell ref="A19:C19"/>
    <mergeCell ref="E33:AZ33"/>
    <mergeCell ref="E34:AZ34"/>
    <mergeCell ref="E37:AZ37"/>
    <mergeCell ref="E35:AZ35"/>
    <mergeCell ref="E36:AZ36"/>
    <mergeCell ref="A22:C22"/>
    <mergeCell ref="A23:C23"/>
    <mergeCell ref="A24:C24"/>
    <mergeCell ref="A32:C32"/>
    <mergeCell ref="A29:C29"/>
    <mergeCell ref="A25:C25"/>
    <mergeCell ref="A26:C26"/>
    <mergeCell ref="A30:C30"/>
    <mergeCell ref="E42:AZ42"/>
    <mergeCell ref="E39:AZ39"/>
    <mergeCell ref="E40:AZ40"/>
    <mergeCell ref="E41:AZ41"/>
    <mergeCell ref="E38:AZ38"/>
    <mergeCell ref="A46:P46"/>
    <mergeCell ref="S46:AH46"/>
    <mergeCell ref="AK46:AZ46"/>
    <mergeCell ref="A47:P47"/>
    <mergeCell ref="AK47:AZ47"/>
    <mergeCell ref="S47:U47"/>
    <mergeCell ref="V47:AH47"/>
    <mergeCell ref="E30:AZ30"/>
    <mergeCell ref="E31:AZ31"/>
    <mergeCell ref="E32:AZ32"/>
    <mergeCell ref="E26:AZ26"/>
    <mergeCell ref="E27:AZ27"/>
    <mergeCell ref="E28:AZ28"/>
    <mergeCell ref="E29:AZ29"/>
  </mergeCells>
  <phoneticPr fontId="0" type="noConversion"/>
  <printOptions horizontalCentered="1" verticalCentered="1"/>
  <pageMargins left="0.59055118110236227" right="0.19685039370078741" top="0.19685039370078741" bottom="0.19685039370078741" header="0" footer="0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A1:AF121"/>
  <sheetViews>
    <sheetView showGridLines="0" view="pageBreakPreview" zoomScale="90" zoomScaleNormal="100" zoomScaleSheetLayoutView="90" workbookViewId="0">
      <selection activeCell="D16" sqref="D16"/>
    </sheetView>
  </sheetViews>
  <sheetFormatPr defaultColWidth="11.44140625" defaultRowHeight="13.2" x14ac:dyDescent="0.25"/>
  <cols>
    <col min="1" max="1" width="35.5546875" style="83" bestFit="1" customWidth="1"/>
    <col min="2" max="2" width="23.88671875" style="13" bestFit="1" customWidth="1"/>
    <col min="3" max="3" width="7.33203125" style="13" bestFit="1" customWidth="1"/>
    <col min="4" max="4" width="58.109375" style="13" customWidth="1"/>
    <col min="5" max="5" width="22" style="13" bestFit="1" customWidth="1"/>
    <col min="6" max="6" width="24.88671875" style="13" customWidth="1"/>
    <col min="7" max="7" width="24.6640625" style="13" bestFit="1" customWidth="1"/>
    <col min="8" max="8" width="34" style="13" bestFit="1" customWidth="1"/>
    <col min="9" max="9" width="15.88671875" style="13" bestFit="1" customWidth="1"/>
    <col min="10" max="15" width="8.5546875" style="13" customWidth="1"/>
    <col min="16" max="24" width="0" style="13" hidden="1" customWidth="1"/>
    <col min="25" max="16384" width="11.44140625" style="13"/>
  </cols>
  <sheetData>
    <row r="1" spans="1:15" s="14" customFormat="1" ht="22.5" customHeight="1" x14ac:dyDescent="0.25">
      <c r="A1" s="264" t="e" vm="1">
        <v>#VALUE!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6"/>
    </row>
    <row r="2" spans="1:15" s="14" customFormat="1" ht="22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9"/>
    </row>
    <row r="3" spans="1:15" s="14" customFormat="1" ht="22.5" customHeight="1" thickBot="1" x14ac:dyDescent="0.3">
      <c r="A3" s="270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2"/>
    </row>
    <row r="4" spans="1:15" ht="22.5" customHeight="1" thickBot="1" x14ac:dyDescent="0.3">
      <c r="A4" s="261" t="s">
        <v>2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3"/>
    </row>
    <row r="5" spans="1:15" ht="30" customHeight="1" x14ac:dyDescent="0.25">
      <c r="A5" s="273" t="s">
        <v>106</v>
      </c>
      <c r="B5" s="259" t="s">
        <v>107</v>
      </c>
      <c r="C5" s="259" t="s">
        <v>108</v>
      </c>
      <c r="D5" s="259" t="s">
        <v>109</v>
      </c>
      <c r="E5" s="259" t="s">
        <v>110</v>
      </c>
      <c r="F5" s="259" t="s">
        <v>111</v>
      </c>
      <c r="G5" s="259" t="s">
        <v>112</v>
      </c>
      <c r="H5" s="259" t="s">
        <v>113</v>
      </c>
      <c r="I5" s="259" t="s">
        <v>114</v>
      </c>
      <c r="J5" s="275" t="s">
        <v>115</v>
      </c>
      <c r="K5" s="276"/>
      <c r="L5" s="277"/>
      <c r="M5" s="275" t="s">
        <v>116</v>
      </c>
      <c r="N5" s="276"/>
      <c r="O5" s="278"/>
    </row>
    <row r="6" spans="1:15" ht="30" customHeight="1" x14ac:dyDescent="0.25">
      <c r="A6" s="274"/>
      <c r="B6" s="260"/>
      <c r="C6" s="260"/>
      <c r="D6" s="260"/>
      <c r="E6" s="260"/>
      <c r="F6" s="260"/>
      <c r="G6" s="260"/>
      <c r="H6" s="260"/>
      <c r="I6" s="260"/>
      <c r="J6" s="84" t="s">
        <v>117</v>
      </c>
      <c r="K6" s="84" t="s">
        <v>118</v>
      </c>
      <c r="L6" s="84" t="s">
        <v>119</v>
      </c>
      <c r="M6" s="84" t="s">
        <v>117</v>
      </c>
      <c r="N6" s="84" t="s">
        <v>118</v>
      </c>
      <c r="O6" s="85" t="s">
        <v>119</v>
      </c>
    </row>
    <row r="7" spans="1:15" x14ac:dyDescent="0.25">
      <c r="A7" s="80" t="s">
        <v>120</v>
      </c>
      <c r="B7" s="35" t="s">
        <v>121</v>
      </c>
      <c r="C7" s="35" t="s">
        <v>10</v>
      </c>
      <c r="D7" s="36" t="s">
        <v>122</v>
      </c>
      <c r="E7" s="35" t="s">
        <v>123</v>
      </c>
      <c r="F7" s="35"/>
      <c r="G7" s="35"/>
      <c r="H7" s="35"/>
      <c r="I7" s="35" t="s">
        <v>124</v>
      </c>
      <c r="J7" s="35">
        <v>55</v>
      </c>
      <c r="K7" s="35">
        <v>55</v>
      </c>
      <c r="L7" s="37">
        <f>J7+K7</f>
        <v>110</v>
      </c>
      <c r="M7" s="38">
        <v>4.1666666666666664E-2</v>
      </c>
      <c r="N7" s="38">
        <v>4.1666666666666664E-2</v>
      </c>
      <c r="O7" s="39">
        <f>M7+N7</f>
        <v>8.3333333333333329E-2</v>
      </c>
    </row>
    <row r="8" spans="1:15" x14ac:dyDescent="0.25">
      <c r="A8" s="80" t="s">
        <v>125</v>
      </c>
      <c r="B8" s="35" t="s">
        <v>126</v>
      </c>
      <c r="C8" s="35" t="s">
        <v>10</v>
      </c>
      <c r="D8" s="36" t="s">
        <v>127</v>
      </c>
      <c r="E8" s="35" t="s">
        <v>128</v>
      </c>
      <c r="F8" s="35" t="s">
        <v>129</v>
      </c>
      <c r="G8" s="35" t="s">
        <v>129</v>
      </c>
      <c r="H8" s="35" t="s">
        <v>129</v>
      </c>
      <c r="I8" s="35" t="s">
        <v>130</v>
      </c>
      <c r="J8" s="37">
        <v>70</v>
      </c>
      <c r="K8" s="37">
        <v>70</v>
      </c>
      <c r="L8" s="37">
        <f>J8+K8</f>
        <v>140</v>
      </c>
      <c r="M8" s="40">
        <v>4.1666666666666664E-2</v>
      </c>
      <c r="N8" s="40">
        <v>4.1666666666666664E-2</v>
      </c>
      <c r="O8" s="39">
        <f>M8+N8</f>
        <v>8.3333333333333329E-2</v>
      </c>
    </row>
    <row r="9" spans="1:15" x14ac:dyDescent="0.25">
      <c r="A9" s="81" t="s">
        <v>131</v>
      </c>
      <c r="B9" s="35" t="s">
        <v>132</v>
      </c>
      <c r="C9" s="41" t="s">
        <v>10</v>
      </c>
      <c r="D9" s="42" t="s">
        <v>133</v>
      </c>
      <c r="E9" s="42" t="s">
        <v>134</v>
      </c>
      <c r="F9" s="35" t="s">
        <v>129</v>
      </c>
      <c r="G9" s="35" t="s">
        <v>129</v>
      </c>
      <c r="H9" s="35" t="s">
        <v>129</v>
      </c>
      <c r="I9" s="35" t="s">
        <v>129</v>
      </c>
      <c r="J9" s="37">
        <v>15</v>
      </c>
      <c r="K9" s="37">
        <v>15</v>
      </c>
      <c r="L9" s="37">
        <f>J9+K9</f>
        <v>30</v>
      </c>
      <c r="M9" s="38">
        <v>2.0833333333333332E-2</v>
      </c>
      <c r="N9" s="38">
        <v>2.0833333333333332E-2</v>
      </c>
      <c r="O9" s="39">
        <f>M9+N9</f>
        <v>4.1666666666666664E-2</v>
      </c>
    </row>
    <row r="10" spans="1:15" x14ac:dyDescent="0.25">
      <c r="A10" s="80" t="s">
        <v>135</v>
      </c>
      <c r="B10" s="35" t="s">
        <v>136</v>
      </c>
      <c r="C10" s="35" t="s">
        <v>10</v>
      </c>
      <c r="D10" s="36" t="s">
        <v>137</v>
      </c>
      <c r="E10" s="35" t="s">
        <v>138</v>
      </c>
      <c r="F10" s="35" t="s">
        <v>129</v>
      </c>
      <c r="G10" s="35" t="s">
        <v>129</v>
      </c>
      <c r="H10" s="35" t="s">
        <v>129</v>
      </c>
      <c r="I10" s="35" t="s">
        <v>139</v>
      </c>
      <c r="J10" s="35">
        <v>45</v>
      </c>
      <c r="K10" s="35">
        <v>45</v>
      </c>
      <c r="L10" s="37">
        <f t="shared" ref="L10:L98" si="0">J10+K10</f>
        <v>90</v>
      </c>
      <c r="M10" s="38">
        <v>4.1666666666666664E-2</v>
      </c>
      <c r="N10" s="38">
        <v>4.1666666666666664E-2</v>
      </c>
      <c r="O10" s="39">
        <f t="shared" ref="O10:O98" si="1">M10+N10</f>
        <v>8.3333333333333329E-2</v>
      </c>
    </row>
    <row r="11" spans="1:15" s="33" customFormat="1" x14ac:dyDescent="0.25">
      <c r="A11" s="80" t="s">
        <v>140</v>
      </c>
      <c r="B11" s="35" t="s">
        <v>126</v>
      </c>
      <c r="C11" s="35" t="s">
        <v>10</v>
      </c>
      <c r="D11" s="36" t="s">
        <v>141</v>
      </c>
      <c r="E11" s="35" t="s">
        <v>142</v>
      </c>
      <c r="F11" s="35" t="s">
        <v>129</v>
      </c>
      <c r="G11" s="35" t="s">
        <v>129</v>
      </c>
      <c r="H11" s="35" t="s">
        <v>129</v>
      </c>
      <c r="I11" s="35" t="s">
        <v>143</v>
      </c>
      <c r="J11" s="37">
        <v>75</v>
      </c>
      <c r="K11" s="37">
        <v>75</v>
      </c>
      <c r="L11" s="37">
        <f t="shared" si="0"/>
        <v>150</v>
      </c>
      <c r="M11" s="38">
        <v>4.1666666666666664E-2</v>
      </c>
      <c r="N11" s="38">
        <v>4.1666666666666664E-2</v>
      </c>
      <c r="O11" s="39">
        <f t="shared" si="1"/>
        <v>8.3333333333333329E-2</v>
      </c>
    </row>
    <row r="12" spans="1:15" x14ac:dyDescent="0.25">
      <c r="A12" s="80" t="s">
        <v>144</v>
      </c>
      <c r="B12" s="35" t="s">
        <v>145</v>
      </c>
      <c r="C12" s="35" t="s">
        <v>10</v>
      </c>
      <c r="D12" s="35" t="s">
        <v>146</v>
      </c>
      <c r="E12" s="35" t="s">
        <v>147</v>
      </c>
      <c r="F12" s="35" t="s">
        <v>129</v>
      </c>
      <c r="G12" s="35" t="s">
        <v>129</v>
      </c>
      <c r="H12" s="35" t="s">
        <v>129</v>
      </c>
      <c r="I12" s="35" t="s">
        <v>148</v>
      </c>
      <c r="J12" s="35">
        <v>30</v>
      </c>
      <c r="K12" s="35">
        <v>30</v>
      </c>
      <c r="L12" s="37">
        <f t="shared" si="0"/>
        <v>60</v>
      </c>
      <c r="M12" s="38">
        <v>4.1666666666666664E-2</v>
      </c>
      <c r="N12" s="38">
        <v>4.1666666666666664E-2</v>
      </c>
      <c r="O12" s="39">
        <f t="shared" si="1"/>
        <v>8.3333333333333329E-2</v>
      </c>
    </row>
    <row r="13" spans="1:15" ht="12.6" customHeight="1" x14ac:dyDescent="0.25">
      <c r="A13" s="80" t="s">
        <v>149</v>
      </c>
      <c r="B13" s="35" t="s">
        <v>150</v>
      </c>
      <c r="C13" s="35" t="s">
        <v>10</v>
      </c>
      <c r="D13" s="35" t="s">
        <v>151</v>
      </c>
      <c r="E13" s="35" t="s">
        <v>152</v>
      </c>
      <c r="F13" s="35" t="s">
        <v>129</v>
      </c>
      <c r="G13" s="35" t="s">
        <v>129</v>
      </c>
      <c r="H13" s="35" t="s">
        <v>129</v>
      </c>
      <c r="I13" s="35" t="s">
        <v>129</v>
      </c>
      <c r="J13" s="35">
        <v>25</v>
      </c>
      <c r="K13" s="35">
        <v>25</v>
      </c>
      <c r="L13" s="37">
        <f t="shared" si="0"/>
        <v>50</v>
      </c>
      <c r="M13" s="38">
        <v>2.0833333333333332E-2</v>
      </c>
      <c r="N13" s="38">
        <v>2.0833333333333332E-2</v>
      </c>
      <c r="O13" s="39">
        <f t="shared" si="1"/>
        <v>4.1666666666666664E-2</v>
      </c>
    </row>
    <row r="14" spans="1:15" ht="12.6" customHeight="1" x14ac:dyDescent="0.25">
      <c r="A14" s="80" t="s">
        <v>153</v>
      </c>
      <c r="B14" s="35" t="s">
        <v>121</v>
      </c>
      <c r="C14" s="35" t="s">
        <v>10</v>
      </c>
      <c r="D14" s="35" t="s">
        <v>154</v>
      </c>
      <c r="E14" s="35" t="s">
        <v>155</v>
      </c>
      <c r="F14" s="35" t="s">
        <v>156</v>
      </c>
      <c r="G14" s="35" t="s">
        <v>157</v>
      </c>
      <c r="H14" s="48" t="s">
        <v>158</v>
      </c>
      <c r="I14" s="35" t="s">
        <v>159</v>
      </c>
      <c r="J14" s="35">
        <v>70</v>
      </c>
      <c r="K14" s="35">
        <v>70</v>
      </c>
      <c r="L14" s="37">
        <f t="shared" si="0"/>
        <v>140</v>
      </c>
      <c r="M14" s="38">
        <v>4.1666666666666664E-2</v>
      </c>
      <c r="N14" s="38">
        <v>4.1666666666666664E-2</v>
      </c>
      <c r="O14" s="39">
        <f t="shared" si="1"/>
        <v>8.3333333333333329E-2</v>
      </c>
    </row>
    <row r="15" spans="1:15" ht="12.6" customHeight="1" x14ac:dyDescent="0.25">
      <c r="A15" s="80" t="s">
        <v>802</v>
      </c>
      <c r="B15" s="35" t="s">
        <v>132</v>
      </c>
      <c r="C15" s="35" t="s">
        <v>10</v>
      </c>
      <c r="D15" s="35" t="s">
        <v>803</v>
      </c>
      <c r="E15" s="35" t="s">
        <v>648</v>
      </c>
      <c r="F15" s="35" t="s">
        <v>804</v>
      </c>
      <c r="G15" s="35" t="s">
        <v>14</v>
      </c>
      <c r="H15" s="48" t="s">
        <v>805</v>
      </c>
      <c r="I15" s="35" t="s">
        <v>806</v>
      </c>
      <c r="J15" s="35">
        <v>15</v>
      </c>
      <c r="K15" s="35">
        <v>15</v>
      </c>
      <c r="L15" s="37">
        <f t="shared" si="0"/>
        <v>30</v>
      </c>
      <c r="M15" s="38">
        <v>2.0833333333333332E-2</v>
      </c>
      <c r="N15" s="38">
        <v>2.0833333333333332E-2</v>
      </c>
      <c r="O15" s="39">
        <f t="shared" si="1"/>
        <v>4.1666666666666664E-2</v>
      </c>
    </row>
    <row r="16" spans="1:15" x14ac:dyDescent="0.25">
      <c r="A16" s="80" t="s">
        <v>160</v>
      </c>
      <c r="B16" s="35" t="s">
        <v>161</v>
      </c>
      <c r="C16" s="35" t="s">
        <v>10</v>
      </c>
      <c r="D16" s="35" t="s">
        <v>162</v>
      </c>
      <c r="E16" s="35" t="s">
        <v>163</v>
      </c>
      <c r="F16" s="35" t="s">
        <v>129</v>
      </c>
      <c r="G16" s="35" t="s">
        <v>157</v>
      </c>
      <c r="H16" s="34" t="s">
        <v>129</v>
      </c>
      <c r="I16" s="35" t="s">
        <v>129</v>
      </c>
      <c r="J16" s="35">
        <v>35</v>
      </c>
      <c r="K16" s="35">
        <v>35</v>
      </c>
      <c r="L16" s="37">
        <f>J16+K16</f>
        <v>70</v>
      </c>
      <c r="M16" s="38">
        <v>4.1666666666666664E-2</v>
      </c>
      <c r="N16" s="38">
        <v>4.1666666666666664E-2</v>
      </c>
      <c r="O16" s="39">
        <f>M16+N16</f>
        <v>8.3333333333333329E-2</v>
      </c>
    </row>
    <row r="17" spans="1:32" s="15" customFormat="1" x14ac:dyDescent="0.25">
      <c r="A17" s="80" t="s">
        <v>164</v>
      </c>
      <c r="B17" s="35" t="s">
        <v>145</v>
      </c>
      <c r="C17" s="35" t="s">
        <v>10</v>
      </c>
      <c r="D17" s="35" t="s">
        <v>162</v>
      </c>
      <c r="E17" s="35" t="s">
        <v>163</v>
      </c>
      <c r="F17" s="35" t="s">
        <v>165</v>
      </c>
      <c r="G17" s="35" t="s">
        <v>166</v>
      </c>
      <c r="H17" s="34" t="s">
        <v>167</v>
      </c>
      <c r="I17" s="35" t="s">
        <v>168</v>
      </c>
      <c r="J17" s="35">
        <v>35</v>
      </c>
      <c r="K17" s="35">
        <v>35</v>
      </c>
      <c r="L17" s="37">
        <f>J17+K17</f>
        <v>70</v>
      </c>
      <c r="M17" s="38">
        <v>4.1666666666666664E-2</v>
      </c>
      <c r="N17" s="38">
        <v>4.1666666666666664E-2</v>
      </c>
      <c r="O17" s="39">
        <f>M17+N17</f>
        <v>8.3333333333333329E-2</v>
      </c>
    </row>
    <row r="18" spans="1:32" x14ac:dyDescent="0.25">
      <c r="A18" s="80" t="s">
        <v>169</v>
      </c>
      <c r="B18" s="35" t="s">
        <v>145</v>
      </c>
      <c r="C18" s="35" t="s">
        <v>10</v>
      </c>
      <c r="D18" s="35" t="s">
        <v>170</v>
      </c>
      <c r="E18" s="35" t="s">
        <v>171</v>
      </c>
      <c r="F18" s="35" t="s">
        <v>172</v>
      </c>
      <c r="G18" s="35" t="s">
        <v>166</v>
      </c>
      <c r="H18" s="34" t="s">
        <v>173</v>
      </c>
      <c r="I18" s="35" t="s">
        <v>174</v>
      </c>
      <c r="J18" s="35">
        <v>45</v>
      </c>
      <c r="K18" s="35">
        <v>45</v>
      </c>
      <c r="L18" s="37">
        <f t="shared" si="0"/>
        <v>90</v>
      </c>
      <c r="M18" s="38">
        <v>4.1666666666666664E-2</v>
      </c>
      <c r="N18" s="38">
        <v>4.1666666666666664E-2</v>
      </c>
      <c r="O18" s="39">
        <f t="shared" si="1"/>
        <v>8.3333333333333329E-2</v>
      </c>
    </row>
    <row r="19" spans="1:32" x14ac:dyDescent="0.25">
      <c r="A19" s="80" t="s">
        <v>175</v>
      </c>
      <c r="B19" s="35" t="s">
        <v>176</v>
      </c>
      <c r="C19" s="35" t="s">
        <v>10</v>
      </c>
      <c r="D19" s="35" t="s">
        <v>177</v>
      </c>
      <c r="E19" s="35" t="s">
        <v>178</v>
      </c>
      <c r="F19" s="35" t="s">
        <v>179</v>
      </c>
      <c r="G19" s="35" t="s">
        <v>157</v>
      </c>
      <c r="H19" s="34" t="s">
        <v>180</v>
      </c>
      <c r="I19" s="35" t="s">
        <v>181</v>
      </c>
      <c r="J19" s="35">
        <v>30</v>
      </c>
      <c r="K19" s="35">
        <v>30</v>
      </c>
      <c r="L19" s="37">
        <f t="shared" si="0"/>
        <v>60</v>
      </c>
      <c r="M19" s="38">
        <v>2.0833333333333332E-2</v>
      </c>
      <c r="N19" s="38">
        <v>2.0833333333333332E-2</v>
      </c>
      <c r="O19" s="39">
        <f t="shared" si="1"/>
        <v>4.1666666666666664E-2</v>
      </c>
    </row>
    <row r="20" spans="1:32" x14ac:dyDescent="0.25">
      <c r="A20" s="80" t="s">
        <v>182</v>
      </c>
      <c r="B20" s="35" t="s">
        <v>136</v>
      </c>
      <c r="C20" s="35" t="s">
        <v>10</v>
      </c>
      <c r="D20" s="35" t="s">
        <v>183</v>
      </c>
      <c r="E20" s="35" t="s">
        <v>184</v>
      </c>
      <c r="F20" s="35" t="s">
        <v>185</v>
      </c>
      <c r="G20" s="35" t="s">
        <v>157</v>
      </c>
      <c r="H20" s="34" t="s">
        <v>186</v>
      </c>
      <c r="I20" s="35" t="s">
        <v>187</v>
      </c>
      <c r="J20" s="35">
        <v>45</v>
      </c>
      <c r="K20" s="35">
        <v>45</v>
      </c>
      <c r="L20" s="37">
        <f t="shared" si="0"/>
        <v>90</v>
      </c>
      <c r="M20" s="38">
        <v>4.1666666666666664E-2</v>
      </c>
      <c r="N20" s="38">
        <v>4.1666666666666664E-2</v>
      </c>
      <c r="O20" s="39">
        <f t="shared" si="1"/>
        <v>8.3333333333333329E-2</v>
      </c>
    </row>
    <row r="21" spans="1:32" x14ac:dyDescent="0.25">
      <c r="A21" s="80" t="s">
        <v>188</v>
      </c>
      <c r="B21" s="35" t="s">
        <v>189</v>
      </c>
      <c r="C21" s="35" t="s">
        <v>10</v>
      </c>
      <c r="D21" s="35" t="s">
        <v>190</v>
      </c>
      <c r="E21" s="35" t="s">
        <v>191</v>
      </c>
      <c r="F21" s="35" t="s">
        <v>192</v>
      </c>
      <c r="G21" s="35" t="s">
        <v>157</v>
      </c>
      <c r="H21" s="34" t="s">
        <v>193</v>
      </c>
      <c r="I21" s="35" t="s">
        <v>194</v>
      </c>
      <c r="J21" s="35">
        <v>185</v>
      </c>
      <c r="K21" s="35">
        <v>185</v>
      </c>
      <c r="L21" s="37">
        <f t="shared" si="0"/>
        <v>370</v>
      </c>
      <c r="M21" s="38">
        <v>0.10416666666666667</v>
      </c>
      <c r="N21" s="38">
        <v>0.10416666666666667</v>
      </c>
      <c r="O21" s="39">
        <f t="shared" si="1"/>
        <v>0.20833333333333334</v>
      </c>
    </row>
    <row r="22" spans="1:32" x14ac:dyDescent="0.25">
      <c r="A22" s="80" t="s">
        <v>195</v>
      </c>
      <c r="B22" s="35" t="s">
        <v>196</v>
      </c>
      <c r="C22" s="35" t="s">
        <v>10</v>
      </c>
      <c r="D22" s="35" t="s">
        <v>197</v>
      </c>
      <c r="E22" s="35" t="s">
        <v>198</v>
      </c>
      <c r="F22" s="35" t="s">
        <v>199</v>
      </c>
      <c r="G22" s="35" t="s">
        <v>157</v>
      </c>
      <c r="H22" s="34" t="s">
        <v>200</v>
      </c>
      <c r="I22" s="35" t="s">
        <v>201</v>
      </c>
      <c r="J22" s="35">
        <v>30</v>
      </c>
      <c r="K22" s="35">
        <v>30</v>
      </c>
      <c r="L22" s="37">
        <f t="shared" si="0"/>
        <v>60</v>
      </c>
      <c r="M22" s="38">
        <v>2.0833333333333332E-2</v>
      </c>
      <c r="N22" s="38">
        <v>2.0833333333333332E-2</v>
      </c>
      <c r="O22" s="39">
        <f t="shared" si="1"/>
        <v>4.1666666666666664E-2</v>
      </c>
    </row>
    <row r="23" spans="1:32" s="15" customFormat="1" x14ac:dyDescent="0.25">
      <c r="A23" s="80" t="s">
        <v>202</v>
      </c>
      <c r="B23" s="35" t="s">
        <v>203</v>
      </c>
      <c r="C23" s="35" t="s">
        <v>204</v>
      </c>
      <c r="D23" s="35" t="s">
        <v>205</v>
      </c>
      <c r="E23" s="35" t="s">
        <v>206</v>
      </c>
      <c r="F23" s="35" t="s">
        <v>207</v>
      </c>
      <c r="G23" s="35" t="s">
        <v>157</v>
      </c>
      <c r="H23" s="34" t="s">
        <v>208</v>
      </c>
      <c r="I23" s="35" t="s">
        <v>209</v>
      </c>
      <c r="J23" s="35">
        <v>460</v>
      </c>
      <c r="K23" s="35">
        <v>460</v>
      </c>
      <c r="L23" s="37">
        <f t="shared" si="0"/>
        <v>920</v>
      </c>
      <c r="M23" s="40">
        <v>0.22916666666666666</v>
      </c>
      <c r="N23" s="40">
        <v>0.22916666666666666</v>
      </c>
      <c r="O23" s="39">
        <f t="shared" si="1"/>
        <v>0.45833333333333331</v>
      </c>
    </row>
    <row r="24" spans="1:32" s="15" customFormat="1" x14ac:dyDescent="0.25">
      <c r="A24" s="80" t="s">
        <v>210</v>
      </c>
      <c r="B24" s="35" t="s">
        <v>176</v>
      </c>
      <c r="C24" s="35" t="s">
        <v>10</v>
      </c>
      <c r="D24" s="35" t="s">
        <v>211</v>
      </c>
      <c r="E24" s="35" t="s">
        <v>178</v>
      </c>
      <c r="F24" s="35" t="s">
        <v>212</v>
      </c>
      <c r="G24" s="35" t="s">
        <v>157</v>
      </c>
      <c r="H24" s="34" t="s">
        <v>213</v>
      </c>
      <c r="I24" s="35" t="s">
        <v>214</v>
      </c>
      <c r="J24" s="35">
        <v>30</v>
      </c>
      <c r="K24" s="35">
        <v>30</v>
      </c>
      <c r="L24" s="37">
        <f t="shared" si="0"/>
        <v>60</v>
      </c>
      <c r="M24" s="38">
        <v>2.0833333333333332E-2</v>
      </c>
      <c r="N24" s="38">
        <v>2.0833333333333332E-2</v>
      </c>
      <c r="O24" s="39">
        <f t="shared" si="1"/>
        <v>4.1666666666666664E-2</v>
      </c>
    </row>
    <row r="25" spans="1:32" s="15" customFormat="1" x14ac:dyDescent="0.25">
      <c r="A25" s="80" t="s">
        <v>215</v>
      </c>
      <c r="B25" s="35" t="s">
        <v>196</v>
      </c>
      <c r="C25" s="35" t="s">
        <v>10</v>
      </c>
      <c r="D25" s="35" t="s">
        <v>216</v>
      </c>
      <c r="E25" s="35" t="s">
        <v>217</v>
      </c>
      <c r="F25" s="35" t="s">
        <v>218</v>
      </c>
      <c r="G25" s="35" t="s">
        <v>157</v>
      </c>
      <c r="H25" s="34" t="s">
        <v>219</v>
      </c>
      <c r="I25" s="35" t="s">
        <v>220</v>
      </c>
      <c r="J25" s="35">
        <v>30</v>
      </c>
      <c r="K25" s="35">
        <v>30</v>
      </c>
      <c r="L25" s="37">
        <f t="shared" si="0"/>
        <v>60</v>
      </c>
      <c r="M25" s="38">
        <v>2.0833333333333332E-2</v>
      </c>
      <c r="N25" s="38">
        <v>2.0833333333333332E-2</v>
      </c>
      <c r="O25" s="39">
        <f t="shared" si="1"/>
        <v>4.1666666666666664E-2</v>
      </c>
    </row>
    <row r="26" spans="1:32" x14ac:dyDescent="0.25">
      <c r="A26" s="80" t="s">
        <v>221</v>
      </c>
      <c r="B26" s="35" t="s">
        <v>196</v>
      </c>
      <c r="C26" s="35" t="s">
        <v>10</v>
      </c>
      <c r="D26" s="35" t="s">
        <v>222</v>
      </c>
      <c r="E26" s="35" t="s">
        <v>223</v>
      </c>
      <c r="F26" s="35" t="s">
        <v>129</v>
      </c>
      <c r="G26" s="35" t="s">
        <v>129</v>
      </c>
      <c r="H26" s="35" t="s">
        <v>129</v>
      </c>
      <c r="I26" s="35" t="s">
        <v>224</v>
      </c>
      <c r="J26" s="35">
        <v>30</v>
      </c>
      <c r="K26" s="35">
        <v>30</v>
      </c>
      <c r="L26" s="37">
        <f t="shared" si="0"/>
        <v>60</v>
      </c>
      <c r="M26" s="38">
        <v>2.0833333333333332E-2</v>
      </c>
      <c r="N26" s="38">
        <v>2.0833333333333332E-2</v>
      </c>
      <c r="O26" s="39">
        <f t="shared" si="1"/>
        <v>4.1666666666666664E-2</v>
      </c>
      <c r="AF26" s="15"/>
    </row>
    <row r="27" spans="1:32" x14ac:dyDescent="0.25">
      <c r="A27" s="80" t="s">
        <v>225</v>
      </c>
      <c r="B27" s="35" t="s">
        <v>226</v>
      </c>
      <c r="C27" s="35" t="s">
        <v>10</v>
      </c>
      <c r="D27" s="35" t="s">
        <v>227</v>
      </c>
      <c r="E27" s="35" t="s">
        <v>228</v>
      </c>
      <c r="F27" s="35" t="s">
        <v>129</v>
      </c>
      <c r="G27" s="35" t="s">
        <v>129</v>
      </c>
      <c r="H27" s="35" t="s">
        <v>129</v>
      </c>
      <c r="I27" s="35" t="s">
        <v>229</v>
      </c>
      <c r="J27" s="35">
        <v>105</v>
      </c>
      <c r="K27" s="35">
        <v>105</v>
      </c>
      <c r="L27" s="37">
        <f t="shared" si="0"/>
        <v>210</v>
      </c>
      <c r="M27" s="38">
        <v>6.25E-2</v>
      </c>
      <c r="N27" s="38">
        <v>6.25E-2</v>
      </c>
      <c r="O27" s="39">
        <f t="shared" si="1"/>
        <v>0.125</v>
      </c>
      <c r="AF27" s="15"/>
    </row>
    <row r="28" spans="1:32" x14ac:dyDescent="0.25">
      <c r="A28" s="80" t="s">
        <v>230</v>
      </c>
      <c r="B28" s="35" t="s">
        <v>231</v>
      </c>
      <c r="C28" s="35" t="s">
        <v>10</v>
      </c>
      <c r="D28" s="35" t="s">
        <v>232</v>
      </c>
      <c r="E28" s="35" t="s">
        <v>233</v>
      </c>
      <c r="F28" s="35" t="s">
        <v>129</v>
      </c>
      <c r="G28" s="35" t="s">
        <v>129</v>
      </c>
      <c r="H28" s="35" t="s">
        <v>129</v>
      </c>
      <c r="I28" s="35" t="s">
        <v>234</v>
      </c>
      <c r="J28" s="35">
        <v>120</v>
      </c>
      <c r="K28" s="35">
        <v>120</v>
      </c>
      <c r="L28" s="37">
        <f t="shared" si="0"/>
        <v>240</v>
      </c>
      <c r="M28" s="40">
        <v>6.25E-2</v>
      </c>
      <c r="N28" s="40">
        <v>6.25E-2</v>
      </c>
      <c r="O28" s="39">
        <f t="shared" si="1"/>
        <v>0.125</v>
      </c>
      <c r="AF28" s="15"/>
    </row>
    <row r="29" spans="1:32" x14ac:dyDescent="0.25">
      <c r="A29" s="80" t="s">
        <v>235</v>
      </c>
      <c r="B29" s="35" t="s">
        <v>236</v>
      </c>
      <c r="C29" s="35" t="s">
        <v>237</v>
      </c>
      <c r="D29" s="35" t="s">
        <v>238</v>
      </c>
      <c r="E29" s="35" t="s">
        <v>236</v>
      </c>
      <c r="F29" s="35" t="s">
        <v>239</v>
      </c>
      <c r="G29" s="35" t="s">
        <v>166</v>
      </c>
      <c r="H29" s="34" t="s">
        <v>240</v>
      </c>
      <c r="I29" s="35" t="s">
        <v>241</v>
      </c>
      <c r="J29" s="35">
        <v>620</v>
      </c>
      <c r="K29" s="35">
        <v>620</v>
      </c>
      <c r="L29" s="37">
        <f t="shared" si="0"/>
        <v>1240</v>
      </c>
      <c r="M29" s="40">
        <v>0.29166666666666669</v>
      </c>
      <c r="N29" s="40">
        <v>0.29166666666666669</v>
      </c>
      <c r="O29" s="39">
        <f t="shared" si="1"/>
        <v>0.58333333333333337</v>
      </c>
      <c r="AF29" s="15"/>
    </row>
    <row r="30" spans="1:32" x14ac:dyDescent="0.25">
      <c r="A30" s="80" t="s">
        <v>242</v>
      </c>
      <c r="B30" s="35" t="s">
        <v>196</v>
      </c>
      <c r="C30" s="35" t="s">
        <v>10</v>
      </c>
      <c r="D30" s="35" t="s">
        <v>243</v>
      </c>
      <c r="E30" s="35" t="s">
        <v>198</v>
      </c>
      <c r="F30" s="35" t="s">
        <v>244</v>
      </c>
      <c r="G30" s="35" t="s">
        <v>14</v>
      </c>
      <c r="H30" s="34" t="s">
        <v>245</v>
      </c>
      <c r="I30" s="35" t="s">
        <v>246</v>
      </c>
      <c r="J30" s="35">
        <v>30</v>
      </c>
      <c r="K30" s="35">
        <v>30</v>
      </c>
      <c r="L30" s="37">
        <f t="shared" si="0"/>
        <v>60</v>
      </c>
      <c r="M30" s="38">
        <v>2.0833333333333332E-2</v>
      </c>
      <c r="N30" s="38">
        <v>2.0833333333333332E-2</v>
      </c>
      <c r="O30" s="39">
        <f t="shared" si="1"/>
        <v>4.1666666666666664E-2</v>
      </c>
      <c r="AF30" s="15"/>
    </row>
    <row r="31" spans="1:32" x14ac:dyDescent="0.25">
      <c r="A31" s="80" t="s">
        <v>247</v>
      </c>
      <c r="B31" s="35" t="s">
        <v>248</v>
      </c>
      <c r="C31" s="35" t="s">
        <v>10</v>
      </c>
      <c r="D31" s="35" t="s">
        <v>249</v>
      </c>
      <c r="E31" s="35" t="s">
        <v>250</v>
      </c>
      <c r="F31" s="35" t="s">
        <v>129</v>
      </c>
      <c r="G31" s="35" t="s">
        <v>129</v>
      </c>
      <c r="H31" s="35" t="s">
        <v>129</v>
      </c>
      <c r="I31" s="35" t="s">
        <v>251</v>
      </c>
      <c r="J31" s="35">
        <v>230</v>
      </c>
      <c r="K31" s="35">
        <v>230</v>
      </c>
      <c r="L31" s="37">
        <f t="shared" si="0"/>
        <v>460</v>
      </c>
      <c r="M31" s="38">
        <v>0.10416666666666667</v>
      </c>
      <c r="N31" s="38">
        <v>0.10416666666666667</v>
      </c>
      <c r="O31" s="39">
        <f t="shared" si="1"/>
        <v>0.20833333333333334</v>
      </c>
    </row>
    <row r="32" spans="1:32" x14ac:dyDescent="0.25">
      <c r="A32" s="80" t="s">
        <v>252</v>
      </c>
      <c r="B32" s="35" t="s">
        <v>253</v>
      </c>
      <c r="C32" s="35" t="s">
        <v>10</v>
      </c>
      <c r="D32" s="35" t="s">
        <v>254</v>
      </c>
      <c r="E32" s="35" t="s">
        <v>255</v>
      </c>
      <c r="F32" s="35" t="s">
        <v>129</v>
      </c>
      <c r="G32" s="35" t="s">
        <v>129</v>
      </c>
      <c r="H32" s="35" t="s">
        <v>129</v>
      </c>
      <c r="I32" s="35" t="s">
        <v>256</v>
      </c>
      <c r="J32" s="35">
        <v>50</v>
      </c>
      <c r="K32" s="35">
        <v>50</v>
      </c>
      <c r="L32" s="37">
        <f t="shared" si="0"/>
        <v>100</v>
      </c>
      <c r="M32" s="40">
        <v>4.1666666666666664E-2</v>
      </c>
      <c r="N32" s="40">
        <v>4.1666666666666664E-2</v>
      </c>
      <c r="O32" s="39">
        <f t="shared" si="1"/>
        <v>8.3333333333333329E-2</v>
      </c>
    </row>
    <row r="33" spans="1:15" x14ac:dyDescent="0.25">
      <c r="A33" s="80" t="s">
        <v>257</v>
      </c>
      <c r="B33" s="35" t="s">
        <v>258</v>
      </c>
      <c r="C33" s="35" t="s">
        <v>10</v>
      </c>
      <c r="D33" s="35" t="s">
        <v>259</v>
      </c>
      <c r="E33" s="35" t="s">
        <v>260</v>
      </c>
      <c r="F33" s="35" t="s">
        <v>261</v>
      </c>
      <c r="G33" s="35" t="s">
        <v>14</v>
      </c>
      <c r="H33" s="48" t="s">
        <v>262</v>
      </c>
      <c r="I33" s="35" t="s">
        <v>263</v>
      </c>
      <c r="J33" s="35">
        <v>140</v>
      </c>
      <c r="K33" s="35">
        <v>140</v>
      </c>
      <c r="L33" s="37">
        <f t="shared" si="0"/>
        <v>280</v>
      </c>
      <c r="M33" s="40">
        <v>8.3333333333333329E-2</v>
      </c>
      <c r="N33" s="40">
        <v>8.3333333333333329E-2</v>
      </c>
      <c r="O33" s="39">
        <f t="shared" si="1"/>
        <v>0.16666666666666666</v>
      </c>
    </row>
    <row r="34" spans="1:15" x14ac:dyDescent="0.25">
      <c r="A34" s="80" t="s">
        <v>264</v>
      </c>
      <c r="B34" s="35" t="s">
        <v>196</v>
      </c>
      <c r="C34" s="35" t="s">
        <v>10</v>
      </c>
      <c r="D34" s="35" t="s">
        <v>265</v>
      </c>
      <c r="E34" s="35" t="s">
        <v>142</v>
      </c>
      <c r="F34" s="35" t="s">
        <v>129</v>
      </c>
      <c r="G34" s="35" t="s">
        <v>129</v>
      </c>
      <c r="H34" s="35" t="s">
        <v>129</v>
      </c>
      <c r="I34" s="35" t="s">
        <v>266</v>
      </c>
      <c r="J34" s="35">
        <v>30</v>
      </c>
      <c r="K34" s="35">
        <v>30</v>
      </c>
      <c r="L34" s="37">
        <f t="shared" si="0"/>
        <v>60</v>
      </c>
      <c r="M34" s="40">
        <v>2.0833333333333332E-2</v>
      </c>
      <c r="N34" s="40">
        <v>2.0833333333333332E-2</v>
      </c>
      <c r="O34" s="39">
        <f t="shared" si="1"/>
        <v>4.1666666666666664E-2</v>
      </c>
    </row>
    <row r="35" spans="1:15" x14ac:dyDescent="0.25">
      <c r="A35" s="80" t="s">
        <v>267</v>
      </c>
      <c r="B35" s="35" t="s">
        <v>132</v>
      </c>
      <c r="C35" s="35" t="s">
        <v>10</v>
      </c>
      <c r="D35" s="35" t="s">
        <v>268</v>
      </c>
      <c r="E35" s="35" t="s">
        <v>269</v>
      </c>
      <c r="F35" s="35" t="s">
        <v>129</v>
      </c>
      <c r="G35" s="35" t="s">
        <v>129</v>
      </c>
      <c r="H35" s="35" t="s">
        <v>129</v>
      </c>
      <c r="I35" s="35" t="s">
        <v>270</v>
      </c>
      <c r="J35" s="35">
        <v>15</v>
      </c>
      <c r="K35" s="35">
        <v>15</v>
      </c>
      <c r="L35" s="37">
        <f t="shared" si="0"/>
        <v>30</v>
      </c>
      <c r="M35" s="40">
        <v>2.0833333333333332E-2</v>
      </c>
      <c r="N35" s="40">
        <v>2.0833333333333332E-2</v>
      </c>
      <c r="O35" s="39">
        <f t="shared" si="1"/>
        <v>4.1666666666666664E-2</v>
      </c>
    </row>
    <row r="36" spans="1:15" x14ac:dyDescent="0.25">
      <c r="A36" s="80" t="s">
        <v>271</v>
      </c>
      <c r="B36" s="35" t="s">
        <v>145</v>
      </c>
      <c r="C36" s="35" t="s">
        <v>10</v>
      </c>
      <c r="D36" s="35" t="s">
        <v>272</v>
      </c>
      <c r="E36" s="35" t="s">
        <v>273</v>
      </c>
      <c r="F36" s="35" t="s">
        <v>129</v>
      </c>
      <c r="G36" s="35" t="s">
        <v>129</v>
      </c>
      <c r="H36" s="35" t="s">
        <v>129</v>
      </c>
      <c r="I36" s="35" t="s">
        <v>129</v>
      </c>
      <c r="J36" s="35">
        <v>70</v>
      </c>
      <c r="K36" s="35">
        <v>70</v>
      </c>
      <c r="L36" s="37">
        <f t="shared" si="0"/>
        <v>140</v>
      </c>
      <c r="M36" s="40">
        <v>4.1666666666666664E-2</v>
      </c>
      <c r="N36" s="40">
        <v>4.1666666666666664E-2</v>
      </c>
      <c r="O36" s="39">
        <f t="shared" si="1"/>
        <v>8.3333333333333329E-2</v>
      </c>
    </row>
    <row r="37" spans="1:15" x14ac:dyDescent="0.25">
      <c r="A37" s="80" t="s">
        <v>274</v>
      </c>
      <c r="B37" s="35" t="s">
        <v>275</v>
      </c>
      <c r="C37" s="35" t="s">
        <v>10</v>
      </c>
      <c r="D37" s="35" t="s">
        <v>276</v>
      </c>
      <c r="E37" s="35" t="s">
        <v>277</v>
      </c>
      <c r="F37" s="35" t="s">
        <v>129</v>
      </c>
      <c r="G37" s="35" t="s">
        <v>129</v>
      </c>
      <c r="H37" s="35" t="s">
        <v>129</v>
      </c>
      <c r="I37" s="35" t="s">
        <v>278</v>
      </c>
      <c r="J37" s="35">
        <v>60</v>
      </c>
      <c r="K37" s="35">
        <v>60</v>
      </c>
      <c r="L37" s="37">
        <f t="shared" si="0"/>
        <v>120</v>
      </c>
      <c r="M37" s="40">
        <v>4.1666666666666664E-2</v>
      </c>
      <c r="N37" s="40">
        <v>4.1666666666666664E-2</v>
      </c>
      <c r="O37" s="39">
        <f t="shared" si="1"/>
        <v>8.3333333333333329E-2</v>
      </c>
    </row>
    <row r="38" spans="1:15" x14ac:dyDescent="0.25">
      <c r="A38" s="80" t="s">
        <v>279</v>
      </c>
      <c r="B38" s="35" t="s">
        <v>280</v>
      </c>
      <c r="C38" s="35" t="s">
        <v>204</v>
      </c>
      <c r="D38" s="35" t="s">
        <v>281</v>
      </c>
      <c r="E38" s="35" t="s">
        <v>282</v>
      </c>
      <c r="F38" s="35" t="s">
        <v>129</v>
      </c>
      <c r="G38" s="35" t="s">
        <v>129</v>
      </c>
      <c r="H38" s="35" t="s">
        <v>129</v>
      </c>
      <c r="I38" s="35" t="s">
        <v>283</v>
      </c>
      <c r="J38" s="35">
        <v>340</v>
      </c>
      <c r="K38" s="35">
        <v>340</v>
      </c>
      <c r="L38" s="37">
        <f t="shared" si="0"/>
        <v>680</v>
      </c>
      <c r="M38" s="38">
        <v>0.1875</v>
      </c>
      <c r="N38" s="38">
        <v>0.1875</v>
      </c>
      <c r="O38" s="39">
        <f t="shared" si="1"/>
        <v>0.375</v>
      </c>
    </row>
    <row r="39" spans="1:15" x14ac:dyDescent="0.25">
      <c r="A39" s="80" t="s">
        <v>284</v>
      </c>
      <c r="B39" s="35" t="s">
        <v>285</v>
      </c>
      <c r="C39" s="35" t="s">
        <v>10</v>
      </c>
      <c r="D39" s="35" t="s">
        <v>286</v>
      </c>
      <c r="E39" s="35" t="s">
        <v>287</v>
      </c>
      <c r="F39" s="35" t="s">
        <v>129</v>
      </c>
      <c r="G39" s="35" t="s">
        <v>129</v>
      </c>
      <c r="H39" s="35" t="s">
        <v>129</v>
      </c>
      <c r="I39" s="35" t="s">
        <v>129</v>
      </c>
      <c r="J39" s="35">
        <v>155</v>
      </c>
      <c r="K39" s="35">
        <v>155</v>
      </c>
      <c r="L39" s="37">
        <f t="shared" si="0"/>
        <v>310</v>
      </c>
      <c r="M39" s="38">
        <v>8.3333333333333329E-2</v>
      </c>
      <c r="N39" s="38">
        <v>8.3333333333333329E-2</v>
      </c>
      <c r="O39" s="39">
        <f t="shared" si="1"/>
        <v>0.16666666666666666</v>
      </c>
    </row>
    <row r="40" spans="1:15" x14ac:dyDescent="0.25">
      <c r="A40" s="80" t="s">
        <v>288</v>
      </c>
      <c r="B40" s="35" t="s">
        <v>289</v>
      </c>
      <c r="C40" s="35" t="s">
        <v>10</v>
      </c>
      <c r="D40" s="35" t="s">
        <v>290</v>
      </c>
      <c r="E40" s="35" t="s">
        <v>289</v>
      </c>
      <c r="F40" s="35" t="s">
        <v>291</v>
      </c>
      <c r="G40" s="35" t="s">
        <v>292</v>
      </c>
      <c r="H40" s="34" t="s">
        <v>293</v>
      </c>
      <c r="I40" s="35" t="s">
        <v>294</v>
      </c>
      <c r="J40" s="35">
        <v>40</v>
      </c>
      <c r="K40" s="35">
        <v>40</v>
      </c>
      <c r="L40" s="37">
        <f t="shared" si="0"/>
        <v>80</v>
      </c>
      <c r="M40" s="40">
        <v>4.1666666666666664E-2</v>
      </c>
      <c r="N40" s="40">
        <v>4.1666666666666664E-2</v>
      </c>
      <c r="O40" s="39">
        <f t="shared" si="1"/>
        <v>8.3333333333333329E-2</v>
      </c>
    </row>
    <row r="41" spans="1:15" x14ac:dyDescent="0.25">
      <c r="A41" s="80" t="s">
        <v>295</v>
      </c>
      <c r="B41" s="35" t="s">
        <v>296</v>
      </c>
      <c r="C41" s="35" t="s">
        <v>204</v>
      </c>
      <c r="D41" s="35" t="s">
        <v>297</v>
      </c>
      <c r="E41" s="35" t="s">
        <v>298</v>
      </c>
      <c r="F41" s="35" t="s">
        <v>299</v>
      </c>
      <c r="G41" s="35" t="s">
        <v>14</v>
      </c>
      <c r="H41" s="34" t="s">
        <v>300</v>
      </c>
      <c r="I41" s="43" t="s">
        <v>301</v>
      </c>
      <c r="J41" s="35">
        <v>410</v>
      </c>
      <c r="K41" s="35">
        <v>410</v>
      </c>
      <c r="L41" s="37">
        <f t="shared" si="0"/>
        <v>820</v>
      </c>
      <c r="M41" s="38">
        <v>0.20833333333333334</v>
      </c>
      <c r="N41" s="38">
        <v>0.20833333333333334</v>
      </c>
      <c r="O41" s="39">
        <f t="shared" si="1"/>
        <v>0.41666666666666669</v>
      </c>
    </row>
    <row r="42" spans="1:15" x14ac:dyDescent="0.25">
      <c r="A42" s="80" t="s">
        <v>302</v>
      </c>
      <c r="B42" s="35" t="s">
        <v>303</v>
      </c>
      <c r="C42" s="35" t="s">
        <v>10</v>
      </c>
      <c r="D42" s="35" t="s">
        <v>304</v>
      </c>
      <c r="E42" s="35" t="s">
        <v>305</v>
      </c>
      <c r="F42" s="35" t="s">
        <v>299</v>
      </c>
      <c r="G42" s="35" t="s">
        <v>14</v>
      </c>
      <c r="H42" s="34" t="s">
        <v>300</v>
      </c>
      <c r="I42" s="43" t="s">
        <v>301</v>
      </c>
      <c r="J42" s="35">
        <v>350</v>
      </c>
      <c r="K42" s="35">
        <v>350</v>
      </c>
      <c r="L42" s="37">
        <f t="shared" si="0"/>
        <v>700</v>
      </c>
      <c r="M42" s="38">
        <v>0.16666666666666666</v>
      </c>
      <c r="N42" s="38">
        <v>0.16666666666666666</v>
      </c>
      <c r="O42" s="39">
        <f t="shared" si="1"/>
        <v>0.33333333333333331</v>
      </c>
    </row>
    <row r="43" spans="1:15" x14ac:dyDescent="0.25">
      <c r="A43" s="80" t="s">
        <v>306</v>
      </c>
      <c r="B43" s="35" t="s">
        <v>307</v>
      </c>
      <c r="C43" s="35" t="s">
        <v>10</v>
      </c>
      <c r="D43" s="35" t="s">
        <v>308</v>
      </c>
      <c r="E43" s="35" t="s">
        <v>309</v>
      </c>
      <c r="F43" s="35" t="s">
        <v>310</v>
      </c>
      <c r="G43" s="35" t="s">
        <v>14</v>
      </c>
      <c r="H43" s="34" t="s">
        <v>311</v>
      </c>
      <c r="I43" s="43" t="s">
        <v>312</v>
      </c>
      <c r="J43" s="35">
        <v>280</v>
      </c>
      <c r="K43" s="35">
        <v>280</v>
      </c>
      <c r="L43" s="37">
        <f t="shared" si="0"/>
        <v>560</v>
      </c>
      <c r="M43" s="38">
        <v>0.125</v>
      </c>
      <c r="N43" s="38">
        <v>0.125</v>
      </c>
      <c r="O43" s="39">
        <f t="shared" si="1"/>
        <v>0.25</v>
      </c>
    </row>
    <row r="44" spans="1:15" x14ac:dyDescent="0.25">
      <c r="A44" s="80" t="s">
        <v>313</v>
      </c>
      <c r="B44" s="35" t="s">
        <v>314</v>
      </c>
      <c r="C44" s="35" t="s">
        <v>10</v>
      </c>
      <c r="D44" s="35" t="s">
        <v>315</v>
      </c>
      <c r="E44" s="43" t="s">
        <v>316</v>
      </c>
      <c r="F44" s="35" t="s">
        <v>299</v>
      </c>
      <c r="G44" s="35" t="s">
        <v>14</v>
      </c>
      <c r="H44" s="34" t="s">
        <v>300</v>
      </c>
      <c r="I44" s="43" t="s">
        <v>301</v>
      </c>
      <c r="J44" s="35">
        <v>220</v>
      </c>
      <c r="K44" s="35">
        <v>220</v>
      </c>
      <c r="L44" s="37">
        <f t="shared" si="0"/>
        <v>440</v>
      </c>
      <c r="M44" s="38">
        <v>0.125</v>
      </c>
      <c r="N44" s="38">
        <v>0.125</v>
      </c>
      <c r="O44" s="39">
        <f t="shared" si="1"/>
        <v>0.25</v>
      </c>
    </row>
    <row r="45" spans="1:15" x14ac:dyDescent="0.25">
      <c r="A45" s="80" t="s">
        <v>317</v>
      </c>
      <c r="B45" s="35" t="s">
        <v>318</v>
      </c>
      <c r="C45" s="35" t="s">
        <v>10</v>
      </c>
      <c r="D45" s="35" t="s">
        <v>319</v>
      </c>
      <c r="E45" s="35" t="s">
        <v>320</v>
      </c>
      <c r="F45" s="35" t="s">
        <v>321</v>
      </c>
      <c r="G45" s="35" t="s">
        <v>322</v>
      </c>
      <c r="H45" s="34" t="s">
        <v>323</v>
      </c>
      <c r="I45" s="35" t="s">
        <v>324</v>
      </c>
      <c r="J45" s="35">
        <v>85</v>
      </c>
      <c r="K45" s="35">
        <v>85</v>
      </c>
      <c r="L45" s="37">
        <f t="shared" si="0"/>
        <v>170</v>
      </c>
      <c r="M45" s="40">
        <v>4.1666666666666664E-2</v>
      </c>
      <c r="N45" s="40">
        <v>4.1666666666666664E-2</v>
      </c>
      <c r="O45" s="39">
        <f t="shared" si="1"/>
        <v>8.3333333333333329E-2</v>
      </c>
    </row>
    <row r="46" spans="1:15" x14ac:dyDescent="0.25">
      <c r="A46" s="80" t="s">
        <v>325</v>
      </c>
      <c r="B46" s="35" t="s">
        <v>326</v>
      </c>
      <c r="C46" s="35" t="s">
        <v>10</v>
      </c>
      <c r="D46" s="35" t="s">
        <v>327</v>
      </c>
      <c r="E46" s="35" t="s">
        <v>328</v>
      </c>
      <c r="F46" s="35" t="s">
        <v>329</v>
      </c>
      <c r="G46" s="35" t="s">
        <v>129</v>
      </c>
      <c r="H46" s="34" t="s">
        <v>129</v>
      </c>
      <c r="I46" s="35"/>
      <c r="J46" s="35">
        <v>85</v>
      </c>
      <c r="K46" s="35">
        <v>85</v>
      </c>
      <c r="L46" s="37">
        <f>J46+K46</f>
        <v>170</v>
      </c>
      <c r="M46" s="40">
        <v>6.25E-2</v>
      </c>
      <c r="N46" s="40">
        <v>6.25E-2</v>
      </c>
      <c r="O46" s="39">
        <f>M46+N46</f>
        <v>0.125</v>
      </c>
    </row>
    <row r="47" spans="1:15" x14ac:dyDescent="0.25">
      <c r="A47" s="80" t="s">
        <v>330</v>
      </c>
      <c r="B47" s="35" t="s">
        <v>331</v>
      </c>
      <c r="C47" s="35" t="s">
        <v>10</v>
      </c>
      <c r="D47" s="42" t="s">
        <v>332</v>
      </c>
      <c r="E47" s="42" t="s">
        <v>333</v>
      </c>
      <c r="F47" s="35" t="s">
        <v>334</v>
      </c>
      <c r="G47" s="35" t="s">
        <v>14</v>
      </c>
      <c r="H47" s="34" t="s">
        <v>335</v>
      </c>
      <c r="I47" s="35" t="s">
        <v>336</v>
      </c>
      <c r="J47" s="37">
        <v>70</v>
      </c>
      <c r="K47" s="37">
        <v>70</v>
      </c>
      <c r="L47" s="37">
        <f t="shared" si="0"/>
        <v>140</v>
      </c>
      <c r="M47" s="38">
        <v>4.1666666666666664E-2</v>
      </c>
      <c r="N47" s="38">
        <v>4.1666666666666664E-2</v>
      </c>
      <c r="O47" s="39">
        <f t="shared" si="1"/>
        <v>8.3333333333333329E-2</v>
      </c>
    </row>
    <row r="48" spans="1:15" x14ac:dyDescent="0.25">
      <c r="A48" s="80" t="s">
        <v>330</v>
      </c>
      <c r="B48" s="35" t="s">
        <v>337</v>
      </c>
      <c r="C48" s="35" t="s">
        <v>338</v>
      </c>
      <c r="D48" s="42" t="s">
        <v>339</v>
      </c>
      <c r="E48" s="42" t="s">
        <v>340</v>
      </c>
      <c r="F48" s="35" t="s">
        <v>341</v>
      </c>
      <c r="G48" s="35" t="s">
        <v>14</v>
      </c>
      <c r="H48" s="34" t="s">
        <v>342</v>
      </c>
      <c r="I48" s="35" t="s">
        <v>343</v>
      </c>
      <c r="J48" s="37">
        <v>700</v>
      </c>
      <c r="K48" s="37">
        <v>700</v>
      </c>
      <c r="L48" s="37">
        <f t="shared" si="0"/>
        <v>1400</v>
      </c>
      <c r="M48" s="38">
        <v>0.375</v>
      </c>
      <c r="N48" s="38">
        <v>0.375</v>
      </c>
      <c r="O48" s="39">
        <f t="shared" si="1"/>
        <v>0.75</v>
      </c>
    </row>
    <row r="49" spans="1:15" x14ac:dyDescent="0.25">
      <c r="A49" s="80" t="s">
        <v>330</v>
      </c>
      <c r="B49" s="35" t="s">
        <v>344</v>
      </c>
      <c r="C49" s="35" t="s">
        <v>10</v>
      </c>
      <c r="D49" s="42" t="s">
        <v>345</v>
      </c>
      <c r="E49" s="42" t="s">
        <v>346</v>
      </c>
      <c r="F49" s="35" t="s">
        <v>347</v>
      </c>
      <c r="G49" s="35" t="s">
        <v>14</v>
      </c>
      <c r="H49" s="34" t="s">
        <v>348</v>
      </c>
      <c r="I49" s="35" t="s">
        <v>349</v>
      </c>
      <c r="J49" s="37">
        <v>320</v>
      </c>
      <c r="K49" s="37">
        <v>320</v>
      </c>
      <c r="L49" s="37">
        <f t="shared" si="0"/>
        <v>640</v>
      </c>
      <c r="M49" s="38">
        <v>0.16666666666666666</v>
      </c>
      <c r="N49" s="38">
        <v>0.16666666666666666</v>
      </c>
      <c r="O49" s="39">
        <f t="shared" si="1"/>
        <v>0.33333333333333331</v>
      </c>
    </row>
    <row r="50" spans="1:15" x14ac:dyDescent="0.25">
      <c r="A50" s="80" t="s">
        <v>350</v>
      </c>
      <c r="B50" s="35" t="s">
        <v>351</v>
      </c>
      <c r="C50" s="35" t="s">
        <v>237</v>
      </c>
      <c r="D50" s="44" t="s">
        <v>352</v>
      </c>
      <c r="E50" s="35" t="s">
        <v>353</v>
      </c>
      <c r="F50" s="35"/>
      <c r="G50" s="35"/>
      <c r="H50" s="35"/>
      <c r="I50" s="35" t="s">
        <v>354</v>
      </c>
      <c r="J50" s="35">
        <v>540</v>
      </c>
      <c r="K50" s="35">
        <v>540</v>
      </c>
      <c r="L50" s="37">
        <f t="shared" si="0"/>
        <v>1080</v>
      </c>
      <c r="M50" s="38">
        <v>0.29166666666666669</v>
      </c>
      <c r="N50" s="38">
        <v>0.29166666666666669</v>
      </c>
      <c r="O50" s="39">
        <f t="shared" si="1"/>
        <v>0.58333333333333337</v>
      </c>
    </row>
    <row r="51" spans="1:15" x14ac:dyDescent="0.25">
      <c r="A51" s="80" t="s">
        <v>355</v>
      </c>
      <c r="B51" s="35" t="s">
        <v>356</v>
      </c>
      <c r="C51" s="35" t="s">
        <v>10</v>
      </c>
      <c r="D51" s="42" t="s">
        <v>357</v>
      </c>
      <c r="E51" s="42" t="s">
        <v>358</v>
      </c>
      <c r="F51" s="35" t="s">
        <v>359</v>
      </c>
      <c r="G51" s="35" t="s">
        <v>14</v>
      </c>
      <c r="H51" s="34" t="s">
        <v>360</v>
      </c>
      <c r="I51" s="45" t="s">
        <v>361</v>
      </c>
      <c r="J51" s="37">
        <v>70</v>
      </c>
      <c r="K51" s="37">
        <v>70</v>
      </c>
      <c r="L51" s="37">
        <f t="shared" si="0"/>
        <v>140</v>
      </c>
      <c r="M51" s="38">
        <v>4.1666666666666664E-2</v>
      </c>
      <c r="N51" s="38">
        <v>4.1666666666666664E-2</v>
      </c>
      <c r="O51" s="39">
        <f t="shared" si="1"/>
        <v>8.3333333333333329E-2</v>
      </c>
    </row>
    <row r="52" spans="1:15" x14ac:dyDescent="0.25">
      <c r="A52" s="80" t="s">
        <v>362</v>
      </c>
      <c r="B52" s="35" t="s">
        <v>363</v>
      </c>
      <c r="C52" s="35" t="s">
        <v>10</v>
      </c>
      <c r="D52" s="42" t="s">
        <v>364</v>
      </c>
      <c r="E52" s="42" t="s">
        <v>365</v>
      </c>
      <c r="F52" s="35" t="s">
        <v>366</v>
      </c>
      <c r="G52" s="35" t="s">
        <v>14</v>
      </c>
      <c r="H52" s="34" t="s">
        <v>367</v>
      </c>
      <c r="I52" s="35" t="s">
        <v>368</v>
      </c>
      <c r="J52" s="37">
        <v>30</v>
      </c>
      <c r="K52" s="37">
        <v>30</v>
      </c>
      <c r="L52" s="37">
        <f t="shared" si="0"/>
        <v>60</v>
      </c>
      <c r="M52" s="38">
        <v>3.125E-2</v>
      </c>
      <c r="N52" s="38">
        <v>3.125E-2</v>
      </c>
      <c r="O52" s="39">
        <f t="shared" si="1"/>
        <v>6.25E-2</v>
      </c>
    </row>
    <row r="53" spans="1:15" x14ac:dyDescent="0.25">
      <c r="A53" s="80" t="s">
        <v>369</v>
      </c>
      <c r="B53" s="35" t="s">
        <v>363</v>
      </c>
      <c r="C53" s="35" t="s">
        <v>10</v>
      </c>
      <c r="D53" s="42" t="s">
        <v>370</v>
      </c>
      <c r="E53" s="42" t="s">
        <v>371</v>
      </c>
      <c r="F53" s="35" t="s">
        <v>129</v>
      </c>
      <c r="G53" s="35" t="s">
        <v>129</v>
      </c>
      <c r="H53" s="35" t="s">
        <v>129</v>
      </c>
      <c r="I53" s="35" t="s">
        <v>129</v>
      </c>
      <c r="J53" s="37">
        <v>25</v>
      </c>
      <c r="K53" s="37">
        <v>25</v>
      </c>
      <c r="L53" s="37">
        <f t="shared" si="0"/>
        <v>50</v>
      </c>
      <c r="M53" s="38">
        <v>2.0833333333333332E-2</v>
      </c>
      <c r="N53" s="38">
        <v>2.0833333333333332E-2</v>
      </c>
      <c r="O53" s="39">
        <f t="shared" si="1"/>
        <v>4.1666666666666664E-2</v>
      </c>
    </row>
    <row r="54" spans="1:15" x14ac:dyDescent="0.25">
      <c r="A54" s="80" t="s">
        <v>372</v>
      </c>
      <c r="B54" s="35" t="s">
        <v>231</v>
      </c>
      <c r="C54" s="35" t="s">
        <v>10</v>
      </c>
      <c r="D54" s="35" t="s">
        <v>373</v>
      </c>
      <c r="E54" s="35" t="s">
        <v>374</v>
      </c>
      <c r="F54" s="35" t="s">
        <v>129</v>
      </c>
      <c r="G54" s="35" t="s">
        <v>129</v>
      </c>
      <c r="H54" s="35" t="s">
        <v>129</v>
      </c>
      <c r="I54" s="35" t="s">
        <v>129</v>
      </c>
      <c r="J54" s="35">
        <v>120</v>
      </c>
      <c r="K54" s="35">
        <v>120</v>
      </c>
      <c r="L54" s="37">
        <f t="shared" si="0"/>
        <v>240</v>
      </c>
      <c r="M54" s="40">
        <v>6.25E-2</v>
      </c>
      <c r="N54" s="40">
        <v>6.25E-2</v>
      </c>
      <c r="O54" s="39">
        <f t="shared" si="1"/>
        <v>0.125</v>
      </c>
    </row>
    <row r="55" spans="1:15" x14ac:dyDescent="0.25">
      <c r="A55" s="80" t="s">
        <v>375</v>
      </c>
      <c r="B55" s="35" t="s">
        <v>376</v>
      </c>
      <c r="C55" s="35" t="s">
        <v>10</v>
      </c>
      <c r="D55" s="35" t="s">
        <v>377</v>
      </c>
      <c r="E55" s="35" t="s">
        <v>378</v>
      </c>
      <c r="F55" s="35" t="s">
        <v>129</v>
      </c>
      <c r="G55" s="35"/>
      <c r="H55" s="35"/>
      <c r="I55" s="35"/>
      <c r="J55" s="35">
        <v>60</v>
      </c>
      <c r="K55" s="35">
        <v>60</v>
      </c>
      <c r="L55" s="37">
        <f t="shared" si="0"/>
        <v>120</v>
      </c>
      <c r="M55" s="40">
        <v>4.1666666666666664E-2</v>
      </c>
      <c r="N55" s="40">
        <v>4.1666666666666664E-2</v>
      </c>
      <c r="O55" s="39">
        <f t="shared" si="1"/>
        <v>8.3333333333333329E-2</v>
      </c>
    </row>
    <row r="56" spans="1:15" x14ac:dyDescent="0.25">
      <c r="A56" s="80" t="s">
        <v>379</v>
      </c>
      <c r="B56" s="35" t="s">
        <v>196</v>
      </c>
      <c r="C56" s="35" t="s">
        <v>10</v>
      </c>
      <c r="D56" s="35" t="s">
        <v>380</v>
      </c>
      <c r="E56" s="35" t="s">
        <v>223</v>
      </c>
      <c r="F56" s="35" t="s">
        <v>129</v>
      </c>
      <c r="G56" s="35" t="s">
        <v>129</v>
      </c>
      <c r="H56" s="35" t="s">
        <v>129</v>
      </c>
      <c r="I56" s="35" t="s">
        <v>129</v>
      </c>
      <c r="J56" s="35">
        <v>30</v>
      </c>
      <c r="K56" s="35">
        <v>30</v>
      </c>
      <c r="L56" s="37">
        <f>J56+K56</f>
        <v>60</v>
      </c>
      <c r="M56" s="40">
        <v>2.0833333333333332E-2</v>
      </c>
      <c r="N56" s="40">
        <v>2.0833333333333332E-2</v>
      </c>
      <c r="O56" s="39">
        <f>M56+N56</f>
        <v>4.1666666666666664E-2</v>
      </c>
    </row>
    <row r="57" spans="1:15" x14ac:dyDescent="0.25">
      <c r="A57" s="80" t="s">
        <v>381</v>
      </c>
      <c r="B57" s="35" t="s">
        <v>382</v>
      </c>
      <c r="C57" s="35" t="s">
        <v>204</v>
      </c>
      <c r="D57" s="35" t="s">
        <v>383</v>
      </c>
      <c r="E57" s="35" t="s">
        <v>382</v>
      </c>
      <c r="F57" s="35"/>
      <c r="G57" s="35"/>
      <c r="H57" s="35"/>
      <c r="I57" s="35"/>
      <c r="J57" s="35">
        <v>420</v>
      </c>
      <c r="K57" s="35">
        <v>420</v>
      </c>
      <c r="L57" s="37">
        <f>J57+K57</f>
        <v>840</v>
      </c>
      <c r="M57" s="40">
        <v>0.25</v>
      </c>
      <c r="N57" s="40">
        <v>0.25</v>
      </c>
      <c r="O57" s="39">
        <f>M57+N57</f>
        <v>0.5</v>
      </c>
    </row>
    <row r="58" spans="1:15" x14ac:dyDescent="0.25">
      <c r="A58" s="80" t="s">
        <v>384</v>
      </c>
      <c r="B58" s="35" t="s">
        <v>161</v>
      </c>
      <c r="C58" s="35" t="s">
        <v>10</v>
      </c>
      <c r="D58" s="35" t="s">
        <v>385</v>
      </c>
      <c r="E58" s="35" t="s">
        <v>386</v>
      </c>
      <c r="F58" s="35" t="s">
        <v>129</v>
      </c>
      <c r="G58" s="35" t="s">
        <v>129</v>
      </c>
      <c r="H58" s="35" t="s">
        <v>129</v>
      </c>
      <c r="I58" s="35" t="s">
        <v>387</v>
      </c>
      <c r="J58" s="35">
        <v>80</v>
      </c>
      <c r="K58" s="35">
        <v>80</v>
      </c>
      <c r="L58" s="37">
        <f t="shared" si="0"/>
        <v>160</v>
      </c>
      <c r="M58" s="40">
        <v>4.1666666666666664E-2</v>
      </c>
      <c r="N58" s="40">
        <v>4.1666666666666664E-2</v>
      </c>
      <c r="O58" s="39">
        <f t="shared" si="1"/>
        <v>8.3333333333333329E-2</v>
      </c>
    </row>
    <row r="59" spans="1:15" x14ac:dyDescent="0.25">
      <c r="A59" s="80" t="s">
        <v>388</v>
      </c>
      <c r="B59" s="35" t="s">
        <v>132</v>
      </c>
      <c r="C59" s="35" t="s">
        <v>10</v>
      </c>
      <c r="D59" s="35" t="s">
        <v>389</v>
      </c>
      <c r="E59" s="35" t="s">
        <v>390</v>
      </c>
      <c r="F59" s="35" t="s">
        <v>156</v>
      </c>
      <c r="G59" s="35" t="s">
        <v>14</v>
      </c>
      <c r="H59" s="48" t="s">
        <v>158</v>
      </c>
      <c r="I59" s="35" t="s">
        <v>159</v>
      </c>
      <c r="J59" s="35">
        <v>15</v>
      </c>
      <c r="K59" s="35">
        <v>15</v>
      </c>
      <c r="L59" s="37">
        <f t="shared" si="0"/>
        <v>30</v>
      </c>
      <c r="M59" s="40">
        <v>1.0416666666666666E-2</v>
      </c>
      <c r="N59" s="40">
        <v>1.0416666666666666E-2</v>
      </c>
      <c r="O59" s="39">
        <f t="shared" si="1"/>
        <v>2.0833333333333332E-2</v>
      </c>
    </row>
    <row r="60" spans="1:15" x14ac:dyDescent="0.25">
      <c r="A60" s="80" t="s">
        <v>391</v>
      </c>
      <c r="B60" s="35" t="s">
        <v>392</v>
      </c>
      <c r="C60" s="35" t="s">
        <v>237</v>
      </c>
      <c r="D60" s="42" t="s">
        <v>393</v>
      </c>
      <c r="E60" s="42" t="s">
        <v>298</v>
      </c>
      <c r="F60" s="35" t="s">
        <v>394</v>
      </c>
      <c r="G60" s="35" t="s">
        <v>395</v>
      </c>
      <c r="H60" s="34" t="s">
        <v>396</v>
      </c>
      <c r="I60" s="35" t="s">
        <v>397</v>
      </c>
      <c r="J60" s="37">
        <v>225</v>
      </c>
      <c r="K60" s="37">
        <v>225</v>
      </c>
      <c r="L60" s="37">
        <f t="shared" si="0"/>
        <v>450</v>
      </c>
      <c r="M60" s="38">
        <v>0.14583333333333334</v>
      </c>
      <c r="N60" s="38">
        <v>0.14583333333333334</v>
      </c>
      <c r="O60" s="39">
        <f t="shared" si="1"/>
        <v>0.29166666666666669</v>
      </c>
    </row>
    <row r="61" spans="1:15" x14ac:dyDescent="0.25">
      <c r="A61" s="80" t="s">
        <v>398</v>
      </c>
      <c r="B61" s="35" t="s">
        <v>399</v>
      </c>
      <c r="C61" s="35" t="s">
        <v>10</v>
      </c>
      <c r="D61" s="42" t="s">
        <v>400</v>
      </c>
      <c r="E61" s="42" t="s">
        <v>401</v>
      </c>
      <c r="F61" s="35"/>
      <c r="G61" s="35"/>
      <c r="H61" s="34"/>
      <c r="I61" s="35"/>
      <c r="J61" s="37">
        <v>60</v>
      </c>
      <c r="K61" s="37">
        <v>60</v>
      </c>
      <c r="L61" s="37">
        <f t="shared" si="0"/>
        <v>120</v>
      </c>
      <c r="M61" s="38">
        <v>4.1666666666666664E-2</v>
      </c>
      <c r="N61" s="38">
        <v>4.1666666666666664E-2</v>
      </c>
      <c r="O61" s="39">
        <f t="shared" si="1"/>
        <v>8.3333333333333329E-2</v>
      </c>
    </row>
    <row r="62" spans="1:15" x14ac:dyDescent="0.25">
      <c r="A62" s="80" t="s">
        <v>402</v>
      </c>
      <c r="B62" s="35" t="s">
        <v>403</v>
      </c>
      <c r="C62" s="35" t="s">
        <v>10</v>
      </c>
      <c r="D62" s="42" t="s">
        <v>404</v>
      </c>
      <c r="E62" s="42" t="s">
        <v>405</v>
      </c>
      <c r="F62" s="35" t="s">
        <v>406</v>
      </c>
      <c r="G62" s="35" t="s">
        <v>14</v>
      </c>
      <c r="H62" s="34" t="s">
        <v>407</v>
      </c>
      <c r="I62" s="35" t="s">
        <v>408</v>
      </c>
      <c r="J62" s="37">
        <v>360</v>
      </c>
      <c r="K62" s="37">
        <v>360</v>
      </c>
      <c r="L62" s="37">
        <f t="shared" si="0"/>
        <v>720</v>
      </c>
      <c r="M62" s="38">
        <v>0.20833333333333334</v>
      </c>
      <c r="N62" s="38">
        <v>0.20833333333333334</v>
      </c>
      <c r="O62" s="39">
        <f t="shared" si="1"/>
        <v>0.41666666666666669</v>
      </c>
    </row>
    <row r="63" spans="1:15" x14ac:dyDescent="0.25">
      <c r="A63" s="80" t="s">
        <v>409</v>
      </c>
      <c r="B63" s="35" t="s">
        <v>189</v>
      </c>
      <c r="C63" s="35" t="s">
        <v>10</v>
      </c>
      <c r="D63" s="42" t="s">
        <v>410</v>
      </c>
      <c r="E63" s="42" t="s">
        <v>411</v>
      </c>
      <c r="F63" s="35" t="s">
        <v>412</v>
      </c>
      <c r="G63" s="35" t="s">
        <v>14</v>
      </c>
      <c r="H63" s="34" t="s">
        <v>413</v>
      </c>
      <c r="I63" s="35" t="s">
        <v>414</v>
      </c>
      <c r="J63" s="37">
        <v>175</v>
      </c>
      <c r="K63" s="37">
        <v>175</v>
      </c>
      <c r="L63" s="37">
        <f>J63+K63</f>
        <v>350</v>
      </c>
      <c r="M63" s="38">
        <v>8.3333333333333329E-2</v>
      </c>
      <c r="N63" s="38">
        <v>8.3333333333333329E-2</v>
      </c>
      <c r="O63" s="39">
        <f>M63+N63</f>
        <v>0.16666666666666666</v>
      </c>
    </row>
    <row r="64" spans="1:15" x14ac:dyDescent="0.25">
      <c r="A64" s="80" t="s">
        <v>415</v>
      </c>
      <c r="B64" s="35" t="s">
        <v>416</v>
      </c>
      <c r="C64" s="35" t="s">
        <v>10</v>
      </c>
      <c r="D64" s="35" t="s">
        <v>129</v>
      </c>
      <c r="E64" s="35" t="s">
        <v>416</v>
      </c>
      <c r="F64" s="35" t="s">
        <v>129</v>
      </c>
      <c r="G64" s="35" t="s">
        <v>129</v>
      </c>
      <c r="H64" s="35" t="s">
        <v>129</v>
      </c>
      <c r="I64" s="35" t="s">
        <v>129</v>
      </c>
      <c r="J64" s="35">
        <v>150</v>
      </c>
      <c r="K64" s="35">
        <v>150</v>
      </c>
      <c r="L64" s="37">
        <f t="shared" si="0"/>
        <v>300</v>
      </c>
      <c r="M64" s="38">
        <v>7.2916666666666671E-2</v>
      </c>
      <c r="N64" s="38">
        <v>7.2916666666666671E-2</v>
      </c>
      <c r="O64" s="39">
        <f t="shared" si="1"/>
        <v>0.14583333333333334</v>
      </c>
    </row>
    <row r="65" spans="1:15" x14ac:dyDescent="0.25">
      <c r="A65" s="80" t="s">
        <v>417</v>
      </c>
      <c r="B65" s="35" t="s">
        <v>418</v>
      </c>
      <c r="C65" s="35" t="s">
        <v>237</v>
      </c>
      <c r="D65" s="35" t="s">
        <v>419</v>
      </c>
      <c r="E65" s="35" t="s">
        <v>420</v>
      </c>
      <c r="F65" s="35" t="s">
        <v>129</v>
      </c>
      <c r="G65" s="35" t="s">
        <v>129</v>
      </c>
      <c r="H65" s="35" t="s">
        <v>129</v>
      </c>
      <c r="I65" s="35" t="s">
        <v>421</v>
      </c>
      <c r="J65" s="35">
        <v>285</v>
      </c>
      <c r="K65" s="35">
        <v>285</v>
      </c>
      <c r="L65" s="37">
        <f t="shared" si="0"/>
        <v>570</v>
      </c>
      <c r="M65" s="38">
        <v>0.16666666666666666</v>
      </c>
      <c r="N65" s="38">
        <v>0.16666666666666666</v>
      </c>
      <c r="O65" s="39">
        <f t="shared" si="1"/>
        <v>0.33333333333333331</v>
      </c>
    </row>
    <row r="66" spans="1:15" ht="12.6" customHeight="1" x14ac:dyDescent="0.25">
      <c r="A66" s="82" t="s">
        <v>422</v>
      </c>
      <c r="B66" s="35" t="s">
        <v>423</v>
      </c>
      <c r="C66" s="41" t="s">
        <v>237</v>
      </c>
      <c r="D66" s="35" t="s">
        <v>424</v>
      </c>
      <c r="E66" s="35" t="s">
        <v>425</v>
      </c>
      <c r="F66" s="35" t="s">
        <v>129</v>
      </c>
      <c r="G66" s="35" t="s">
        <v>129</v>
      </c>
      <c r="H66" s="35" t="s">
        <v>129</v>
      </c>
      <c r="I66" s="35" t="s">
        <v>129</v>
      </c>
      <c r="J66" s="35">
        <v>550</v>
      </c>
      <c r="K66" s="35">
        <v>550</v>
      </c>
      <c r="L66" s="37">
        <f t="shared" si="0"/>
        <v>1100</v>
      </c>
      <c r="M66" s="38">
        <v>0.3125</v>
      </c>
      <c r="N66" s="38">
        <v>0.3125</v>
      </c>
      <c r="O66" s="39">
        <f t="shared" si="1"/>
        <v>0.625</v>
      </c>
    </row>
    <row r="67" spans="1:15" x14ac:dyDescent="0.25">
      <c r="A67" s="81" t="s">
        <v>426</v>
      </c>
      <c r="B67" s="35" t="s">
        <v>132</v>
      </c>
      <c r="C67" s="41" t="s">
        <v>10</v>
      </c>
      <c r="D67" s="42" t="s">
        <v>427</v>
      </c>
      <c r="E67" s="42" t="s">
        <v>428</v>
      </c>
      <c r="F67" s="35" t="s">
        <v>429</v>
      </c>
      <c r="G67" s="35" t="s">
        <v>14</v>
      </c>
      <c r="H67" s="34" t="s">
        <v>430</v>
      </c>
      <c r="I67" s="35" t="s">
        <v>431</v>
      </c>
      <c r="J67" s="37">
        <v>20</v>
      </c>
      <c r="K67" s="37">
        <v>20</v>
      </c>
      <c r="L67" s="37">
        <f t="shared" si="0"/>
        <v>40</v>
      </c>
      <c r="M67" s="38">
        <v>2.0833333333333332E-2</v>
      </c>
      <c r="N67" s="38">
        <v>2.0833333333333332E-2</v>
      </c>
      <c r="O67" s="39">
        <f t="shared" si="1"/>
        <v>4.1666666666666664E-2</v>
      </c>
    </row>
    <row r="68" spans="1:15" x14ac:dyDescent="0.25">
      <c r="A68" s="82" t="s">
        <v>432</v>
      </c>
      <c r="B68" s="35" t="s">
        <v>433</v>
      </c>
      <c r="C68" s="41" t="s">
        <v>237</v>
      </c>
      <c r="D68" s="42" t="s">
        <v>434</v>
      </c>
      <c r="E68" s="42" t="s">
        <v>435</v>
      </c>
      <c r="F68" s="35" t="s">
        <v>129</v>
      </c>
      <c r="G68" s="35" t="s">
        <v>129</v>
      </c>
      <c r="H68" s="34" t="s">
        <v>129</v>
      </c>
      <c r="I68" s="35" t="s">
        <v>129</v>
      </c>
      <c r="J68" s="37">
        <v>520</v>
      </c>
      <c r="K68" s="37">
        <v>520</v>
      </c>
      <c r="L68" s="37">
        <f t="shared" si="0"/>
        <v>1040</v>
      </c>
      <c r="M68" s="38">
        <v>0.27083333333333331</v>
      </c>
      <c r="N68" s="38">
        <v>0.27083333333333331</v>
      </c>
      <c r="O68" s="39">
        <f t="shared" si="1"/>
        <v>0.54166666666666663</v>
      </c>
    </row>
    <row r="69" spans="1:15" x14ac:dyDescent="0.25">
      <c r="A69" s="82" t="s">
        <v>436</v>
      </c>
      <c r="B69" s="35" t="s">
        <v>437</v>
      </c>
      <c r="C69" s="41" t="s">
        <v>10</v>
      </c>
      <c r="D69" s="42" t="s">
        <v>438</v>
      </c>
      <c r="E69" s="42" t="s">
        <v>439</v>
      </c>
      <c r="F69" s="35" t="s">
        <v>129</v>
      </c>
      <c r="G69" s="35" t="s">
        <v>129</v>
      </c>
      <c r="H69" s="34" t="s">
        <v>129</v>
      </c>
      <c r="I69" s="35" t="s">
        <v>129</v>
      </c>
      <c r="J69" s="37">
        <v>160</v>
      </c>
      <c r="K69" s="37">
        <v>160</v>
      </c>
      <c r="L69" s="37">
        <f t="shared" si="0"/>
        <v>320</v>
      </c>
      <c r="M69" s="38">
        <v>8.3333333333333329E-2</v>
      </c>
      <c r="N69" s="38">
        <v>8.3333333333333329E-2</v>
      </c>
      <c r="O69" s="39">
        <f t="shared" si="1"/>
        <v>0.16666666666666666</v>
      </c>
    </row>
    <row r="70" spans="1:15" ht="14.25" customHeight="1" x14ac:dyDescent="0.25">
      <c r="A70" s="80" t="s">
        <v>440</v>
      </c>
      <c r="B70" s="35" t="s">
        <v>231</v>
      </c>
      <c r="C70" s="35" t="s">
        <v>10</v>
      </c>
      <c r="D70" s="35" t="s">
        <v>441</v>
      </c>
      <c r="E70" s="35" t="s">
        <v>442</v>
      </c>
      <c r="F70" s="35" t="s">
        <v>129</v>
      </c>
      <c r="G70" s="35" t="s">
        <v>129</v>
      </c>
      <c r="H70" s="35" t="s">
        <v>129</v>
      </c>
      <c r="I70" s="35" t="s">
        <v>443</v>
      </c>
      <c r="J70" s="35">
        <v>120</v>
      </c>
      <c r="K70" s="35">
        <v>120</v>
      </c>
      <c r="L70" s="37">
        <f t="shared" si="0"/>
        <v>240</v>
      </c>
      <c r="M70" s="40">
        <v>6.25E-2</v>
      </c>
      <c r="N70" s="40">
        <v>6.25E-2</v>
      </c>
      <c r="O70" s="39">
        <f t="shared" si="1"/>
        <v>0.125</v>
      </c>
    </row>
    <row r="71" spans="1:15" ht="14.25" customHeight="1" x14ac:dyDescent="0.25">
      <c r="A71" s="80" t="s">
        <v>444</v>
      </c>
      <c r="B71" s="35" t="s">
        <v>331</v>
      </c>
      <c r="C71" s="35" t="s">
        <v>10</v>
      </c>
      <c r="D71" s="35" t="s">
        <v>445</v>
      </c>
      <c r="E71" s="35" t="s">
        <v>446</v>
      </c>
      <c r="F71" s="35" t="s">
        <v>129</v>
      </c>
      <c r="G71" s="35" t="s">
        <v>129</v>
      </c>
      <c r="H71" s="35" t="s">
        <v>129</v>
      </c>
      <c r="I71" s="35" t="s">
        <v>447</v>
      </c>
      <c r="J71" s="35">
        <v>65</v>
      </c>
      <c r="K71" s="35">
        <v>65</v>
      </c>
      <c r="L71" s="37">
        <f t="shared" si="0"/>
        <v>130</v>
      </c>
      <c r="M71" s="38">
        <v>4.1666666666666664E-2</v>
      </c>
      <c r="N71" s="38">
        <v>4.1666666666666664E-2</v>
      </c>
      <c r="O71" s="39">
        <f t="shared" si="1"/>
        <v>8.3333333333333329E-2</v>
      </c>
    </row>
    <row r="72" spans="1:15" x14ac:dyDescent="0.25">
      <c r="A72" s="80" t="s">
        <v>448</v>
      </c>
      <c r="B72" s="35" t="s">
        <v>145</v>
      </c>
      <c r="C72" s="35" t="s">
        <v>10</v>
      </c>
      <c r="D72" s="35" t="s">
        <v>449</v>
      </c>
      <c r="E72" s="35" t="s">
        <v>450</v>
      </c>
      <c r="F72" s="35"/>
      <c r="G72" s="35"/>
      <c r="H72" s="35"/>
      <c r="I72" s="35" t="s">
        <v>451</v>
      </c>
      <c r="J72" s="35">
        <v>50</v>
      </c>
      <c r="K72" s="35">
        <v>50</v>
      </c>
      <c r="L72" s="37">
        <f t="shared" si="0"/>
        <v>100</v>
      </c>
      <c r="M72" s="38">
        <v>4.1666666666666664E-2</v>
      </c>
      <c r="N72" s="38">
        <v>4.1666666666666664E-2</v>
      </c>
      <c r="O72" s="39">
        <f t="shared" si="1"/>
        <v>8.3333333333333329E-2</v>
      </c>
    </row>
    <row r="73" spans="1:15" x14ac:dyDescent="0.25">
      <c r="A73" s="80" t="s">
        <v>452</v>
      </c>
      <c r="B73" s="35" t="s">
        <v>145</v>
      </c>
      <c r="C73" s="35" t="s">
        <v>10</v>
      </c>
      <c r="D73" s="35" t="s">
        <v>453</v>
      </c>
      <c r="E73" s="35" t="s">
        <v>450</v>
      </c>
      <c r="F73" s="35" t="s">
        <v>454</v>
      </c>
      <c r="G73" s="35" t="s">
        <v>14</v>
      </c>
      <c r="H73" s="34" t="s">
        <v>455</v>
      </c>
      <c r="I73" s="35" t="s">
        <v>456</v>
      </c>
      <c r="J73" s="35">
        <v>50</v>
      </c>
      <c r="K73" s="35">
        <v>50</v>
      </c>
      <c r="L73" s="37">
        <f>J73+K73</f>
        <v>100</v>
      </c>
      <c r="M73" s="38">
        <v>4.1666666666666664E-2</v>
      </c>
      <c r="N73" s="38">
        <v>4.1666666666666664E-2</v>
      </c>
      <c r="O73" s="39">
        <f>M73+N73</f>
        <v>8.3333333333333329E-2</v>
      </c>
    </row>
    <row r="74" spans="1:15" x14ac:dyDescent="0.25">
      <c r="A74" s="80" t="s">
        <v>457</v>
      </c>
      <c r="B74" s="35" t="s">
        <v>458</v>
      </c>
      <c r="C74" s="35" t="s">
        <v>10</v>
      </c>
      <c r="D74" s="35" t="s">
        <v>459</v>
      </c>
      <c r="E74" s="35" t="s">
        <v>460</v>
      </c>
      <c r="F74" s="35" t="s">
        <v>461</v>
      </c>
      <c r="G74" s="35" t="s">
        <v>14</v>
      </c>
      <c r="H74" s="34" t="s">
        <v>462</v>
      </c>
      <c r="I74" s="35" t="s">
        <v>463</v>
      </c>
      <c r="J74" s="35">
        <v>110</v>
      </c>
      <c r="K74" s="35">
        <v>110</v>
      </c>
      <c r="L74" s="37">
        <f>J74+K74</f>
        <v>220</v>
      </c>
      <c r="M74" s="38">
        <v>8.3333333333333329E-2</v>
      </c>
      <c r="N74" s="38">
        <v>8.3333333333333329E-2</v>
      </c>
      <c r="O74" s="39">
        <f>M74+N74</f>
        <v>0.16666666666666666</v>
      </c>
    </row>
    <row r="75" spans="1:15" x14ac:dyDescent="0.25">
      <c r="A75" s="80" t="s">
        <v>464</v>
      </c>
      <c r="B75" s="35" t="s">
        <v>465</v>
      </c>
      <c r="C75" s="35" t="s">
        <v>10</v>
      </c>
      <c r="D75" s="35" t="s">
        <v>466</v>
      </c>
      <c r="E75" s="35" t="s">
        <v>465</v>
      </c>
      <c r="F75" s="35" t="s">
        <v>467</v>
      </c>
      <c r="G75" s="35" t="s">
        <v>468</v>
      </c>
      <c r="H75" s="34" t="s">
        <v>469</v>
      </c>
      <c r="I75" s="35" t="s">
        <v>470</v>
      </c>
      <c r="J75" s="37">
        <v>210</v>
      </c>
      <c r="K75" s="37">
        <v>210</v>
      </c>
      <c r="L75" s="37">
        <f t="shared" si="0"/>
        <v>420</v>
      </c>
      <c r="M75" s="38">
        <v>0.10416666666666667</v>
      </c>
      <c r="N75" s="38">
        <v>0.10416666666666667</v>
      </c>
      <c r="O75" s="39">
        <f t="shared" si="1"/>
        <v>0.20833333333333334</v>
      </c>
    </row>
    <row r="76" spans="1:15" x14ac:dyDescent="0.25">
      <c r="A76" s="80" t="s">
        <v>471</v>
      </c>
      <c r="B76" s="35" t="s">
        <v>472</v>
      </c>
      <c r="C76" s="35" t="s">
        <v>10</v>
      </c>
      <c r="D76" s="35" t="s">
        <v>473</v>
      </c>
      <c r="E76" s="35" t="s">
        <v>474</v>
      </c>
      <c r="F76" s="35" t="s">
        <v>129</v>
      </c>
      <c r="G76" s="35" t="s">
        <v>129</v>
      </c>
      <c r="H76" s="35" t="s">
        <v>129</v>
      </c>
      <c r="I76" s="35" t="s">
        <v>475</v>
      </c>
      <c r="J76" s="37">
        <v>30</v>
      </c>
      <c r="K76" s="37">
        <v>30</v>
      </c>
      <c r="L76" s="37">
        <f t="shared" si="0"/>
        <v>60</v>
      </c>
      <c r="M76" s="38">
        <v>2.0833333333333332E-2</v>
      </c>
      <c r="N76" s="38">
        <v>2.0833333333333332E-2</v>
      </c>
      <c r="O76" s="39">
        <f t="shared" si="1"/>
        <v>4.1666666666666664E-2</v>
      </c>
    </row>
    <row r="77" spans="1:15" x14ac:dyDescent="0.25">
      <c r="A77" s="81" t="s">
        <v>476</v>
      </c>
      <c r="B77" s="35" t="s">
        <v>477</v>
      </c>
      <c r="C77" s="41" t="s">
        <v>10</v>
      </c>
      <c r="D77" s="42" t="s">
        <v>478</v>
      </c>
      <c r="E77" s="42" t="s">
        <v>479</v>
      </c>
      <c r="F77" s="35" t="s">
        <v>480</v>
      </c>
      <c r="G77" s="35" t="s">
        <v>14</v>
      </c>
      <c r="H77" s="34" t="s">
        <v>481</v>
      </c>
      <c r="I77" s="35" t="s">
        <v>129</v>
      </c>
      <c r="J77" s="37">
        <v>25</v>
      </c>
      <c r="K77" s="37">
        <v>25</v>
      </c>
      <c r="L77" s="37">
        <f t="shared" si="0"/>
        <v>50</v>
      </c>
      <c r="M77" s="38">
        <v>2.0833333333333332E-2</v>
      </c>
      <c r="N77" s="38">
        <v>2.0833333333333332E-2</v>
      </c>
      <c r="O77" s="39">
        <f t="shared" si="1"/>
        <v>4.1666666666666664E-2</v>
      </c>
    </row>
    <row r="78" spans="1:15" x14ac:dyDescent="0.25">
      <c r="A78" s="80" t="s">
        <v>482</v>
      </c>
      <c r="B78" s="35" t="s">
        <v>121</v>
      </c>
      <c r="C78" s="35" t="s">
        <v>10</v>
      </c>
      <c r="D78" s="35" t="s">
        <v>154</v>
      </c>
      <c r="E78" s="35" t="s">
        <v>155</v>
      </c>
      <c r="F78" s="35" t="s">
        <v>156</v>
      </c>
      <c r="G78" s="35" t="s">
        <v>157</v>
      </c>
      <c r="H78" s="48" t="s">
        <v>158</v>
      </c>
      <c r="I78" s="35" t="s">
        <v>159</v>
      </c>
      <c r="J78" s="35">
        <v>70</v>
      </c>
      <c r="K78" s="35">
        <v>70</v>
      </c>
      <c r="L78" s="37">
        <f t="shared" ref="L78" si="2">J78+K78</f>
        <v>140</v>
      </c>
      <c r="M78" s="38">
        <v>4.1666666666666664E-2</v>
      </c>
      <c r="N78" s="38">
        <v>4.1666666666666664E-2</v>
      </c>
      <c r="O78" s="39">
        <f t="shared" ref="O78" si="3">M78+N78</f>
        <v>8.3333333333333329E-2</v>
      </c>
    </row>
    <row r="79" spans="1:15" x14ac:dyDescent="0.25">
      <c r="A79" s="80" t="s">
        <v>483</v>
      </c>
      <c r="B79" s="35" t="s">
        <v>484</v>
      </c>
      <c r="C79" s="35" t="s">
        <v>10</v>
      </c>
      <c r="D79" s="35" t="s">
        <v>485</v>
      </c>
      <c r="E79" s="35" t="s">
        <v>486</v>
      </c>
      <c r="F79" s="35" t="s">
        <v>129</v>
      </c>
      <c r="G79" s="35" t="s">
        <v>129</v>
      </c>
      <c r="H79" s="52" t="s">
        <v>487</v>
      </c>
      <c r="I79" s="35" t="s">
        <v>488</v>
      </c>
      <c r="J79" s="35">
        <v>130</v>
      </c>
      <c r="K79" s="35">
        <v>130</v>
      </c>
      <c r="L79" s="37">
        <f>J79+K79</f>
        <v>260</v>
      </c>
      <c r="M79" s="40">
        <v>6.25E-2</v>
      </c>
      <c r="N79" s="40">
        <v>6.25E-2</v>
      </c>
      <c r="O79" s="39">
        <f>M79+N79</f>
        <v>0.125</v>
      </c>
    </row>
    <row r="80" spans="1:15" x14ac:dyDescent="0.25">
      <c r="A80" s="80" t="s">
        <v>489</v>
      </c>
      <c r="B80" s="35" t="s">
        <v>490</v>
      </c>
      <c r="C80" s="35" t="s">
        <v>10</v>
      </c>
      <c r="D80" s="35" t="s">
        <v>491</v>
      </c>
      <c r="E80" s="35" t="s">
        <v>492</v>
      </c>
      <c r="F80" s="35" t="s">
        <v>129</v>
      </c>
      <c r="G80" s="35" t="s">
        <v>129</v>
      </c>
      <c r="H80" s="35" t="s">
        <v>129</v>
      </c>
      <c r="I80" s="35" t="s">
        <v>493</v>
      </c>
      <c r="J80" s="35">
        <v>55</v>
      </c>
      <c r="K80" s="35">
        <v>55</v>
      </c>
      <c r="L80" s="37">
        <f t="shared" si="0"/>
        <v>110</v>
      </c>
      <c r="M80" s="40">
        <v>4.1666666666666664E-2</v>
      </c>
      <c r="N80" s="40">
        <v>4.1666666666666664E-2</v>
      </c>
      <c r="O80" s="39">
        <f t="shared" si="1"/>
        <v>8.3333333333333329E-2</v>
      </c>
    </row>
    <row r="81" spans="1:15" x14ac:dyDescent="0.25">
      <c r="A81" s="80" t="s">
        <v>494</v>
      </c>
      <c r="B81" s="35" t="s">
        <v>495</v>
      </c>
      <c r="C81" s="35" t="s">
        <v>10</v>
      </c>
      <c r="D81" s="35" t="s">
        <v>496</v>
      </c>
      <c r="E81" s="35" t="s">
        <v>497</v>
      </c>
      <c r="F81" s="35" t="s">
        <v>129</v>
      </c>
      <c r="G81" s="35" t="s">
        <v>129</v>
      </c>
      <c r="H81" s="35" t="s">
        <v>129</v>
      </c>
      <c r="I81" s="46" t="s">
        <v>129</v>
      </c>
      <c r="J81" s="35">
        <v>10</v>
      </c>
      <c r="K81" s="35">
        <v>10</v>
      </c>
      <c r="L81" s="37">
        <f t="shared" si="0"/>
        <v>20</v>
      </c>
      <c r="M81" s="38">
        <v>1.0416666666666666E-2</v>
      </c>
      <c r="N81" s="38">
        <v>1.0416666666666666E-2</v>
      </c>
      <c r="O81" s="39">
        <f t="shared" si="1"/>
        <v>2.0833333333333332E-2</v>
      </c>
    </row>
    <row r="82" spans="1:15" x14ac:dyDescent="0.25">
      <c r="A82" s="80" t="s">
        <v>498</v>
      </c>
      <c r="B82" s="35" t="s">
        <v>495</v>
      </c>
      <c r="C82" s="35" t="s">
        <v>10</v>
      </c>
      <c r="D82" s="35" t="s">
        <v>499</v>
      </c>
      <c r="E82" s="35" t="s">
        <v>500</v>
      </c>
      <c r="F82" s="35" t="s">
        <v>129</v>
      </c>
      <c r="G82" s="35" t="s">
        <v>129</v>
      </c>
      <c r="H82" s="35" t="s">
        <v>129</v>
      </c>
      <c r="I82" s="53" t="s">
        <v>129</v>
      </c>
      <c r="J82" s="35">
        <v>15</v>
      </c>
      <c r="K82" s="35">
        <v>15</v>
      </c>
      <c r="L82" s="37">
        <f t="shared" si="0"/>
        <v>30</v>
      </c>
      <c r="M82" s="38">
        <v>2.0833333333333332E-2</v>
      </c>
      <c r="N82" s="38">
        <v>2.0833333333333332E-2</v>
      </c>
      <c r="O82" s="39">
        <f t="shared" si="1"/>
        <v>4.1666666666666664E-2</v>
      </c>
    </row>
    <row r="83" spans="1:15" ht="14.25" customHeight="1" x14ac:dyDescent="0.25">
      <c r="A83" s="80" t="s">
        <v>501</v>
      </c>
      <c r="B83" s="35" t="s">
        <v>502</v>
      </c>
      <c r="C83" s="35" t="s">
        <v>10</v>
      </c>
      <c r="D83" s="15" t="s">
        <v>503</v>
      </c>
      <c r="E83" s="35" t="s">
        <v>500</v>
      </c>
      <c r="F83" s="35" t="s">
        <v>129</v>
      </c>
      <c r="G83" s="35" t="s">
        <v>129</v>
      </c>
      <c r="H83" s="35" t="s">
        <v>129</v>
      </c>
      <c r="I83" s="35" t="s">
        <v>504</v>
      </c>
      <c r="J83" s="35">
        <v>185</v>
      </c>
      <c r="K83" s="35">
        <v>185</v>
      </c>
      <c r="L83" s="37">
        <f t="shared" si="0"/>
        <v>370</v>
      </c>
      <c r="M83" s="38">
        <v>0.10416666666666667</v>
      </c>
      <c r="N83" s="38">
        <v>0.10416666666666667</v>
      </c>
      <c r="O83" s="39">
        <f t="shared" si="1"/>
        <v>0.20833333333333334</v>
      </c>
    </row>
    <row r="84" spans="1:15" ht="14.25" customHeight="1" x14ac:dyDescent="0.25">
      <c r="A84" s="80" t="s">
        <v>505</v>
      </c>
      <c r="B84" s="35" t="s">
        <v>472</v>
      </c>
      <c r="C84" s="35" t="s">
        <v>10</v>
      </c>
      <c r="D84" s="35" t="s">
        <v>506</v>
      </c>
      <c r="E84" s="35" t="s">
        <v>507</v>
      </c>
      <c r="F84" s="35" t="s">
        <v>129</v>
      </c>
      <c r="G84" s="35" t="s">
        <v>129</v>
      </c>
      <c r="H84" s="35" t="s">
        <v>129</v>
      </c>
      <c r="I84" s="35" t="s">
        <v>508</v>
      </c>
      <c r="J84" s="35">
        <v>30</v>
      </c>
      <c r="K84" s="35">
        <v>30</v>
      </c>
      <c r="L84" s="37">
        <f t="shared" si="0"/>
        <v>60</v>
      </c>
      <c r="M84" s="38">
        <v>2.0833333333333332E-2</v>
      </c>
      <c r="N84" s="38">
        <v>2.0833333333333332E-2</v>
      </c>
      <c r="O84" s="39">
        <f t="shared" si="1"/>
        <v>4.1666666666666664E-2</v>
      </c>
    </row>
    <row r="85" spans="1:15" x14ac:dyDescent="0.25">
      <c r="A85" s="80" t="s">
        <v>505</v>
      </c>
      <c r="B85" s="35" t="s">
        <v>509</v>
      </c>
      <c r="C85" s="35" t="s">
        <v>10</v>
      </c>
      <c r="D85" s="42" t="s">
        <v>510</v>
      </c>
      <c r="E85" s="42" t="s">
        <v>382</v>
      </c>
      <c r="F85" s="35" t="s">
        <v>511</v>
      </c>
      <c r="G85" s="35" t="s">
        <v>14</v>
      </c>
      <c r="H85" s="34" t="s">
        <v>512</v>
      </c>
      <c r="I85" s="35" t="s">
        <v>513</v>
      </c>
      <c r="J85" s="37">
        <v>155</v>
      </c>
      <c r="K85" s="37">
        <v>155</v>
      </c>
      <c r="L85" s="37">
        <f t="shared" si="0"/>
        <v>310</v>
      </c>
      <c r="M85" s="38">
        <v>8.3333333333333329E-2</v>
      </c>
      <c r="N85" s="38">
        <v>8.3333333333333329E-2</v>
      </c>
      <c r="O85" s="39">
        <f t="shared" si="1"/>
        <v>0.16666666666666666</v>
      </c>
    </row>
    <row r="86" spans="1:15" x14ac:dyDescent="0.25">
      <c r="A86" s="80" t="s">
        <v>505</v>
      </c>
      <c r="B86" s="35" t="s">
        <v>258</v>
      </c>
      <c r="C86" s="35" t="s">
        <v>10</v>
      </c>
      <c r="D86" s="42" t="s">
        <v>514</v>
      </c>
      <c r="E86" s="42" t="s">
        <v>346</v>
      </c>
      <c r="F86" s="35" t="s">
        <v>515</v>
      </c>
      <c r="G86" s="35" t="s">
        <v>516</v>
      </c>
      <c r="H86" s="34" t="s">
        <v>517</v>
      </c>
      <c r="I86" s="35" t="s">
        <v>518</v>
      </c>
      <c r="J86" s="37">
        <v>145</v>
      </c>
      <c r="K86" s="37">
        <v>145</v>
      </c>
      <c r="L86" s="37">
        <f>145+145</f>
        <v>290</v>
      </c>
      <c r="M86" s="38">
        <v>8.3333333333333329E-2</v>
      </c>
      <c r="N86" s="38">
        <v>8.3333333333333329E-2</v>
      </c>
      <c r="O86" s="39">
        <f t="shared" si="1"/>
        <v>0.16666666666666666</v>
      </c>
    </row>
    <row r="87" spans="1:15" x14ac:dyDescent="0.25">
      <c r="A87" s="80" t="s">
        <v>519</v>
      </c>
      <c r="B87" s="35" t="s">
        <v>520</v>
      </c>
      <c r="C87" s="35" t="s">
        <v>10</v>
      </c>
      <c r="D87" s="42" t="s">
        <v>521</v>
      </c>
      <c r="E87" s="42" t="s">
        <v>223</v>
      </c>
      <c r="F87" s="35" t="s">
        <v>129</v>
      </c>
      <c r="G87" s="35" t="s">
        <v>129</v>
      </c>
      <c r="H87" s="34" t="s">
        <v>129</v>
      </c>
      <c r="I87" s="35" t="s">
        <v>129</v>
      </c>
      <c r="J87" s="37">
        <v>30</v>
      </c>
      <c r="K87" s="37">
        <v>30</v>
      </c>
      <c r="L87" s="37">
        <f t="shared" si="0"/>
        <v>60</v>
      </c>
      <c r="M87" s="38">
        <v>2.0833333333333332E-2</v>
      </c>
      <c r="N87" s="38">
        <v>2.0833333333333332E-2</v>
      </c>
      <c r="O87" s="39">
        <f t="shared" si="1"/>
        <v>4.1666666666666664E-2</v>
      </c>
    </row>
    <row r="88" spans="1:15" x14ac:dyDescent="0.25">
      <c r="A88" s="80" t="s">
        <v>522</v>
      </c>
      <c r="B88" s="35" t="s">
        <v>523</v>
      </c>
      <c r="C88" s="35" t="s">
        <v>237</v>
      </c>
      <c r="D88" s="42" t="s">
        <v>524</v>
      </c>
      <c r="E88" s="42" t="s">
        <v>525</v>
      </c>
      <c r="F88" s="35" t="s">
        <v>526</v>
      </c>
      <c r="G88" s="35" t="s">
        <v>14</v>
      </c>
      <c r="H88" s="34" t="s">
        <v>527</v>
      </c>
      <c r="I88" s="35" t="s">
        <v>528</v>
      </c>
      <c r="J88" s="37">
        <v>355</v>
      </c>
      <c r="K88" s="37">
        <v>355</v>
      </c>
      <c r="L88" s="37">
        <f t="shared" si="0"/>
        <v>710</v>
      </c>
      <c r="M88" s="38">
        <v>0.20833333333333334</v>
      </c>
      <c r="N88" s="38">
        <v>0.20833333333333334</v>
      </c>
      <c r="O88" s="39">
        <f t="shared" si="1"/>
        <v>0.41666666666666669</v>
      </c>
    </row>
    <row r="89" spans="1:15" x14ac:dyDescent="0.25">
      <c r="A89" s="80" t="s">
        <v>529</v>
      </c>
      <c r="B89" s="35" t="s">
        <v>275</v>
      </c>
      <c r="C89" s="35" t="s">
        <v>10</v>
      </c>
      <c r="D89" s="42" t="s">
        <v>530</v>
      </c>
      <c r="E89" s="42" t="s">
        <v>531</v>
      </c>
      <c r="F89" s="35" t="s">
        <v>412</v>
      </c>
      <c r="G89" s="35" t="s">
        <v>14</v>
      </c>
      <c r="H89" s="34" t="s">
        <v>413</v>
      </c>
      <c r="I89" s="35" t="s">
        <v>414</v>
      </c>
      <c r="J89" s="37">
        <v>65</v>
      </c>
      <c r="K89" s="37">
        <v>65</v>
      </c>
      <c r="L89" s="37">
        <f t="shared" si="0"/>
        <v>130</v>
      </c>
      <c r="M89" s="38">
        <v>4.1666666666666664E-2</v>
      </c>
      <c r="N89" s="38">
        <v>4.1666666666666664E-2</v>
      </c>
      <c r="O89" s="39">
        <f t="shared" si="1"/>
        <v>8.3333333333333329E-2</v>
      </c>
    </row>
    <row r="90" spans="1:15" x14ac:dyDescent="0.25">
      <c r="A90" s="80" t="s">
        <v>532</v>
      </c>
      <c r="B90" s="35" t="s">
        <v>533</v>
      </c>
      <c r="C90" s="35" t="s">
        <v>10</v>
      </c>
      <c r="D90" s="35" t="s">
        <v>534</v>
      </c>
      <c r="E90" s="35" t="s">
        <v>535</v>
      </c>
      <c r="F90" s="35" t="s">
        <v>129</v>
      </c>
      <c r="G90" s="35" t="s">
        <v>129</v>
      </c>
      <c r="H90" s="35" t="s">
        <v>129</v>
      </c>
      <c r="I90" s="35" t="s">
        <v>129</v>
      </c>
      <c r="J90" s="35">
        <v>430</v>
      </c>
      <c r="K90" s="35">
        <v>430</v>
      </c>
      <c r="L90" s="37">
        <f t="shared" si="0"/>
        <v>860</v>
      </c>
      <c r="M90" s="38">
        <v>0.25</v>
      </c>
      <c r="N90" s="38">
        <v>0.25</v>
      </c>
      <c r="O90" s="39">
        <f t="shared" si="1"/>
        <v>0.5</v>
      </c>
    </row>
    <row r="91" spans="1:15" s="33" customFormat="1" x14ac:dyDescent="0.25">
      <c r="A91" s="81" t="s">
        <v>536</v>
      </c>
      <c r="B91" s="35" t="s">
        <v>537</v>
      </c>
      <c r="C91" s="41" t="s">
        <v>10</v>
      </c>
      <c r="D91" s="35" t="s">
        <v>538</v>
      </c>
      <c r="E91" s="35" t="s">
        <v>537</v>
      </c>
      <c r="F91" s="35" t="s">
        <v>12</v>
      </c>
      <c r="G91" s="35" t="s">
        <v>539</v>
      </c>
      <c r="H91" s="34" t="s">
        <v>16</v>
      </c>
      <c r="I91" s="35" t="s">
        <v>18</v>
      </c>
      <c r="J91" s="35">
        <v>330</v>
      </c>
      <c r="K91" s="35">
        <v>330</v>
      </c>
      <c r="L91" s="37">
        <f t="shared" si="0"/>
        <v>660</v>
      </c>
      <c r="M91" s="38">
        <v>0.16666666666666666</v>
      </c>
      <c r="N91" s="38">
        <v>0.16666666666666666</v>
      </c>
      <c r="O91" s="39">
        <f t="shared" si="1"/>
        <v>0.33333333333333331</v>
      </c>
    </row>
    <row r="92" spans="1:15" x14ac:dyDescent="0.25">
      <c r="A92" s="80" t="s">
        <v>540</v>
      </c>
      <c r="B92" s="35" t="s">
        <v>145</v>
      </c>
      <c r="C92" s="35" t="s">
        <v>10</v>
      </c>
      <c r="D92" s="47" t="s">
        <v>541</v>
      </c>
      <c r="E92" s="35" t="s">
        <v>542</v>
      </c>
      <c r="F92" s="35"/>
      <c r="G92" s="35"/>
      <c r="H92" s="35"/>
      <c r="I92" s="35" t="s">
        <v>543</v>
      </c>
      <c r="J92" s="35">
        <v>45</v>
      </c>
      <c r="K92" s="35">
        <v>45</v>
      </c>
      <c r="L92" s="37">
        <f t="shared" si="0"/>
        <v>90</v>
      </c>
      <c r="M92" s="38">
        <v>4.1666666666666664E-2</v>
      </c>
      <c r="N92" s="38">
        <v>4.1666666666666664E-2</v>
      </c>
      <c r="O92" s="39">
        <f t="shared" si="1"/>
        <v>8.3333333333333329E-2</v>
      </c>
    </row>
    <row r="93" spans="1:15" x14ac:dyDescent="0.25">
      <c r="A93" s="80" t="s">
        <v>544</v>
      </c>
      <c r="B93" s="35" t="s">
        <v>196</v>
      </c>
      <c r="C93" s="35" t="s">
        <v>10</v>
      </c>
      <c r="D93" s="42" t="s">
        <v>545</v>
      </c>
      <c r="E93" s="42" t="s">
        <v>142</v>
      </c>
      <c r="F93" s="35" t="s">
        <v>546</v>
      </c>
      <c r="G93" s="35" t="s">
        <v>547</v>
      </c>
      <c r="H93" s="34" t="s">
        <v>548</v>
      </c>
      <c r="I93" s="35" t="s">
        <v>549</v>
      </c>
      <c r="J93" s="35">
        <v>30</v>
      </c>
      <c r="K93" s="35">
        <v>30</v>
      </c>
      <c r="L93" s="37">
        <f t="shared" si="0"/>
        <v>60</v>
      </c>
      <c r="M93" s="38">
        <v>2.0833333333333332E-2</v>
      </c>
      <c r="N93" s="38">
        <v>2.0833333333333332E-2</v>
      </c>
      <c r="O93" s="39">
        <f t="shared" si="1"/>
        <v>4.1666666666666664E-2</v>
      </c>
    </row>
    <row r="94" spans="1:15" x14ac:dyDescent="0.25">
      <c r="A94" s="80" t="s">
        <v>550</v>
      </c>
      <c r="B94" s="35" t="s">
        <v>551</v>
      </c>
      <c r="C94" s="35" t="s">
        <v>10</v>
      </c>
      <c r="D94" s="35" t="s">
        <v>129</v>
      </c>
      <c r="E94" s="35" t="s">
        <v>129</v>
      </c>
      <c r="F94" s="35" t="s">
        <v>129</v>
      </c>
      <c r="G94" s="35" t="s">
        <v>129</v>
      </c>
      <c r="H94" s="35" t="s">
        <v>129</v>
      </c>
      <c r="I94" s="35" t="s">
        <v>129</v>
      </c>
      <c r="J94" s="35">
        <v>150</v>
      </c>
      <c r="K94" s="35">
        <v>150</v>
      </c>
      <c r="L94" s="37">
        <f t="shared" si="0"/>
        <v>300</v>
      </c>
      <c r="M94" s="40">
        <v>8.3333333333333329E-2</v>
      </c>
      <c r="N94" s="40">
        <v>8.3333333333333329E-2</v>
      </c>
      <c r="O94" s="39">
        <f t="shared" si="1"/>
        <v>0.16666666666666666</v>
      </c>
    </row>
    <row r="95" spans="1:15" ht="14.25" customHeight="1" x14ac:dyDescent="0.25">
      <c r="A95" s="80" t="s">
        <v>552</v>
      </c>
      <c r="B95" s="35" t="s">
        <v>551</v>
      </c>
      <c r="C95" s="35" t="s">
        <v>10</v>
      </c>
      <c r="D95" s="35" t="s">
        <v>129</v>
      </c>
      <c r="E95" s="35" t="s">
        <v>129</v>
      </c>
      <c r="F95" s="35" t="s">
        <v>129</v>
      </c>
      <c r="G95" s="35" t="s">
        <v>129</v>
      </c>
      <c r="H95" s="35" t="s">
        <v>129</v>
      </c>
      <c r="I95" s="35" t="s">
        <v>129</v>
      </c>
      <c r="J95" s="35">
        <v>150</v>
      </c>
      <c r="K95" s="35">
        <v>150</v>
      </c>
      <c r="L95" s="37">
        <f t="shared" si="0"/>
        <v>300</v>
      </c>
      <c r="M95" s="40">
        <v>8.3333333333333329E-2</v>
      </c>
      <c r="N95" s="40">
        <v>8.3333333333333329E-2</v>
      </c>
      <c r="O95" s="39">
        <f t="shared" si="1"/>
        <v>0.16666666666666666</v>
      </c>
    </row>
    <row r="96" spans="1:15" x14ac:dyDescent="0.25">
      <c r="A96" s="80" t="s">
        <v>553</v>
      </c>
      <c r="B96" s="35" t="s">
        <v>161</v>
      </c>
      <c r="C96" s="35" t="s">
        <v>10</v>
      </c>
      <c r="D96" s="47" t="s">
        <v>554</v>
      </c>
      <c r="E96" s="35" t="s">
        <v>142</v>
      </c>
      <c r="F96" s="35" t="s">
        <v>129</v>
      </c>
      <c r="G96" s="35" t="s">
        <v>129</v>
      </c>
      <c r="H96" s="35" t="s">
        <v>129</v>
      </c>
      <c r="I96" s="35" t="s">
        <v>129</v>
      </c>
      <c r="J96" s="35">
        <v>35</v>
      </c>
      <c r="K96" s="35">
        <v>35</v>
      </c>
      <c r="L96" s="37">
        <f t="shared" si="0"/>
        <v>70</v>
      </c>
      <c r="M96" s="40">
        <v>4.1666666666666664E-2</v>
      </c>
      <c r="N96" s="40">
        <v>4.1666666666666664E-2</v>
      </c>
      <c r="O96" s="39">
        <f t="shared" si="1"/>
        <v>8.3333333333333329E-2</v>
      </c>
    </row>
    <row r="97" spans="1:15" x14ac:dyDescent="0.25">
      <c r="A97" s="80" t="s">
        <v>555</v>
      </c>
      <c r="B97" s="35" t="s">
        <v>132</v>
      </c>
      <c r="C97" s="35" t="s">
        <v>10</v>
      </c>
      <c r="D97" s="35" t="s">
        <v>556</v>
      </c>
      <c r="E97" s="35" t="s">
        <v>557</v>
      </c>
      <c r="F97" s="35" t="s">
        <v>558</v>
      </c>
      <c r="G97" s="35" t="s">
        <v>14</v>
      </c>
      <c r="H97" s="34" t="s">
        <v>559</v>
      </c>
      <c r="I97" s="35" t="s">
        <v>560</v>
      </c>
      <c r="J97" s="35">
        <v>15</v>
      </c>
      <c r="K97" s="35">
        <v>15</v>
      </c>
      <c r="L97" s="37">
        <f t="shared" si="0"/>
        <v>30</v>
      </c>
      <c r="M97" s="40">
        <v>1.0416666666666666E-2</v>
      </c>
      <c r="N97" s="40">
        <v>1.0416666666666666E-2</v>
      </c>
      <c r="O97" s="39">
        <f t="shared" si="1"/>
        <v>2.0833333333333332E-2</v>
      </c>
    </row>
    <row r="98" spans="1:15" x14ac:dyDescent="0.25">
      <c r="A98" s="80" t="s">
        <v>561</v>
      </c>
      <c r="B98" s="35" t="s">
        <v>562</v>
      </c>
      <c r="C98" s="35" t="s">
        <v>10</v>
      </c>
      <c r="D98" s="35" t="s">
        <v>563</v>
      </c>
      <c r="E98" s="35" t="s">
        <v>564</v>
      </c>
      <c r="F98" s="35" t="s">
        <v>129</v>
      </c>
      <c r="G98" s="35" t="s">
        <v>129</v>
      </c>
      <c r="H98" s="35" t="s">
        <v>129</v>
      </c>
      <c r="I98" s="35" t="s">
        <v>565</v>
      </c>
      <c r="J98" s="35">
        <v>50</v>
      </c>
      <c r="K98" s="35">
        <v>50</v>
      </c>
      <c r="L98" s="37">
        <f t="shared" si="0"/>
        <v>100</v>
      </c>
      <c r="M98" s="40">
        <v>4.1666666666666664E-2</v>
      </c>
      <c r="N98" s="40">
        <v>4.1666666666666664E-2</v>
      </c>
      <c r="O98" s="39">
        <f t="shared" si="1"/>
        <v>8.3333333333333329E-2</v>
      </c>
    </row>
    <row r="99" spans="1:15" x14ac:dyDescent="0.25">
      <c r="A99" s="80" t="s">
        <v>566</v>
      </c>
      <c r="B99" s="35" t="s">
        <v>145</v>
      </c>
      <c r="C99" s="35" t="s">
        <v>10</v>
      </c>
      <c r="D99" s="35" t="s">
        <v>129</v>
      </c>
      <c r="E99" s="35" t="s">
        <v>129</v>
      </c>
      <c r="F99" s="35" t="s">
        <v>129</v>
      </c>
      <c r="G99" s="35" t="s">
        <v>129</v>
      </c>
      <c r="H99" s="15" t="s">
        <v>129</v>
      </c>
      <c r="I99" s="35" t="s">
        <v>567</v>
      </c>
      <c r="J99" s="35">
        <v>40</v>
      </c>
      <c r="K99" s="35">
        <v>40</v>
      </c>
      <c r="L99" s="37">
        <f t="shared" ref="L99:L121" si="4">J99+K99</f>
        <v>80</v>
      </c>
      <c r="M99" s="38">
        <v>3.125E-2</v>
      </c>
      <c r="N99" s="38">
        <v>3.125E-2</v>
      </c>
      <c r="O99" s="39">
        <f t="shared" ref="O99:O121" si="5">M99+N99</f>
        <v>6.25E-2</v>
      </c>
    </row>
    <row r="100" spans="1:15" x14ac:dyDescent="0.25">
      <c r="A100" s="80" t="s">
        <v>568</v>
      </c>
      <c r="B100" s="35" t="s">
        <v>569</v>
      </c>
      <c r="C100" s="35" t="s">
        <v>10</v>
      </c>
      <c r="D100" s="47" t="s">
        <v>570</v>
      </c>
      <c r="E100" s="35" t="s">
        <v>571</v>
      </c>
      <c r="F100" s="35" t="s">
        <v>572</v>
      </c>
      <c r="G100" s="35" t="s">
        <v>395</v>
      </c>
      <c r="H100" s="34" t="s">
        <v>573</v>
      </c>
      <c r="I100" s="35" t="s">
        <v>574</v>
      </c>
      <c r="J100" s="35">
        <v>140</v>
      </c>
      <c r="K100" s="35">
        <v>140</v>
      </c>
      <c r="L100" s="37">
        <f t="shared" si="4"/>
        <v>280</v>
      </c>
      <c r="M100" s="38">
        <v>8.3333333333333329E-2</v>
      </c>
      <c r="N100" s="38">
        <v>8.3333333333333329E-2</v>
      </c>
      <c r="O100" s="39">
        <f t="shared" si="5"/>
        <v>0.16666666666666666</v>
      </c>
    </row>
    <row r="101" spans="1:15" x14ac:dyDescent="0.25">
      <c r="A101" s="80" t="s">
        <v>568</v>
      </c>
      <c r="B101" s="35" t="s">
        <v>176</v>
      </c>
      <c r="C101" s="35" t="s">
        <v>10</v>
      </c>
      <c r="D101" s="47" t="s">
        <v>575</v>
      </c>
      <c r="E101" s="35" t="s">
        <v>142</v>
      </c>
      <c r="F101" s="35" t="s">
        <v>572</v>
      </c>
      <c r="G101" s="35" t="s">
        <v>395</v>
      </c>
      <c r="H101" s="34" t="s">
        <v>573</v>
      </c>
      <c r="I101" s="35" t="s">
        <v>576</v>
      </c>
      <c r="J101" s="35">
        <v>25</v>
      </c>
      <c r="K101" s="35">
        <v>25</v>
      </c>
      <c r="L101" s="37">
        <f t="shared" si="4"/>
        <v>50</v>
      </c>
      <c r="M101" s="38">
        <v>2.0833333333333332E-2</v>
      </c>
      <c r="N101" s="38">
        <v>2.0833333333333332E-2</v>
      </c>
      <c r="O101" s="39">
        <f t="shared" si="5"/>
        <v>4.1666666666666664E-2</v>
      </c>
    </row>
    <row r="102" spans="1:15" s="33" customFormat="1" x14ac:dyDescent="0.25">
      <c r="A102" s="80" t="s">
        <v>577</v>
      </c>
      <c r="B102" s="35" t="s">
        <v>578</v>
      </c>
      <c r="C102" s="35" t="s">
        <v>10</v>
      </c>
      <c r="D102" s="35" t="s">
        <v>579</v>
      </c>
      <c r="E102" s="35" t="s">
        <v>580</v>
      </c>
      <c r="F102" s="35" t="s">
        <v>129</v>
      </c>
      <c r="G102" s="35" t="s">
        <v>129</v>
      </c>
      <c r="H102" s="35"/>
      <c r="I102" s="35" t="s">
        <v>581</v>
      </c>
      <c r="J102" s="35">
        <v>25</v>
      </c>
      <c r="K102" s="35">
        <v>25</v>
      </c>
      <c r="L102" s="37">
        <f t="shared" si="4"/>
        <v>50</v>
      </c>
      <c r="M102" s="38">
        <v>2.0833333333333332E-2</v>
      </c>
      <c r="N102" s="38">
        <v>2.0833333333333332E-2</v>
      </c>
      <c r="O102" s="39">
        <f t="shared" si="5"/>
        <v>4.1666666666666664E-2</v>
      </c>
    </row>
    <row r="103" spans="1:15" s="33" customFormat="1" x14ac:dyDescent="0.25">
      <c r="A103" s="80" t="s">
        <v>582</v>
      </c>
      <c r="B103" s="35" t="s">
        <v>490</v>
      </c>
      <c r="C103" s="35" t="s">
        <v>10</v>
      </c>
      <c r="D103" s="35" t="s">
        <v>583</v>
      </c>
      <c r="E103" s="35" t="s">
        <v>584</v>
      </c>
      <c r="F103" s="35" t="s">
        <v>585</v>
      </c>
      <c r="G103" s="35" t="s">
        <v>586</v>
      </c>
      <c r="H103" s="34" t="s">
        <v>587</v>
      </c>
      <c r="I103" s="35" t="s">
        <v>588</v>
      </c>
      <c r="J103" s="35">
        <v>65</v>
      </c>
      <c r="K103" s="35">
        <v>65</v>
      </c>
      <c r="L103" s="37">
        <f t="shared" si="4"/>
        <v>130</v>
      </c>
      <c r="M103" s="40">
        <v>4.1666666666666664E-2</v>
      </c>
      <c r="N103" s="40">
        <v>4.1666666666666664E-2</v>
      </c>
      <c r="O103" s="39">
        <f t="shared" si="5"/>
        <v>8.3333333333333329E-2</v>
      </c>
    </row>
    <row r="104" spans="1:15" s="33" customFormat="1" x14ac:dyDescent="0.25">
      <c r="A104" s="80" t="s">
        <v>589</v>
      </c>
      <c r="B104" s="35" t="s">
        <v>145</v>
      </c>
      <c r="C104" s="35" t="s">
        <v>10</v>
      </c>
      <c r="D104" s="35" t="s">
        <v>590</v>
      </c>
      <c r="E104" s="35" t="s">
        <v>591</v>
      </c>
      <c r="F104" s="35" t="s">
        <v>129</v>
      </c>
      <c r="G104" s="35" t="s">
        <v>129</v>
      </c>
      <c r="H104" s="35"/>
      <c r="I104" s="35" t="s">
        <v>592</v>
      </c>
      <c r="J104" s="35">
        <v>35</v>
      </c>
      <c r="K104" s="35">
        <v>35</v>
      </c>
      <c r="L104" s="37">
        <f t="shared" si="4"/>
        <v>70</v>
      </c>
      <c r="M104" s="40">
        <v>4.1666666666666664E-2</v>
      </c>
      <c r="N104" s="40">
        <v>4.1666666666666664E-2</v>
      </c>
      <c r="O104" s="39">
        <f t="shared" si="5"/>
        <v>8.3333333333333329E-2</v>
      </c>
    </row>
    <row r="105" spans="1:15" s="33" customFormat="1" x14ac:dyDescent="0.25">
      <c r="A105" s="80" t="s">
        <v>593</v>
      </c>
      <c r="B105" s="35" t="s">
        <v>132</v>
      </c>
      <c r="C105" s="35" t="s">
        <v>10</v>
      </c>
      <c r="D105" s="42" t="s">
        <v>594</v>
      </c>
      <c r="E105" s="42" t="s">
        <v>595</v>
      </c>
      <c r="F105" s="35" t="s">
        <v>596</v>
      </c>
      <c r="G105" s="35" t="s">
        <v>516</v>
      </c>
      <c r="H105" s="34" t="s">
        <v>597</v>
      </c>
      <c r="I105" s="35" t="s">
        <v>598</v>
      </c>
      <c r="J105" s="37">
        <v>20</v>
      </c>
      <c r="K105" s="37">
        <v>20</v>
      </c>
      <c r="L105" s="37">
        <f t="shared" si="4"/>
        <v>40</v>
      </c>
      <c r="M105" s="38">
        <v>2.0833333333333332E-2</v>
      </c>
      <c r="N105" s="38">
        <v>2.0833333333333332E-2</v>
      </c>
      <c r="O105" s="39">
        <f t="shared" si="5"/>
        <v>4.1666666666666664E-2</v>
      </c>
    </row>
    <row r="106" spans="1:15" s="33" customFormat="1" x14ac:dyDescent="0.25">
      <c r="A106" s="81" t="s">
        <v>599</v>
      </c>
      <c r="B106" s="35" t="s">
        <v>145</v>
      </c>
      <c r="C106" s="41" t="s">
        <v>10</v>
      </c>
      <c r="D106" s="35" t="s">
        <v>600</v>
      </c>
      <c r="E106" s="35" t="s">
        <v>601</v>
      </c>
      <c r="F106" s="35" t="s">
        <v>129</v>
      </c>
      <c r="G106" s="35" t="s">
        <v>129</v>
      </c>
      <c r="H106" s="35" t="s">
        <v>129</v>
      </c>
      <c r="I106" s="35" t="s">
        <v>602</v>
      </c>
      <c r="J106" s="35">
        <v>35</v>
      </c>
      <c r="K106" s="35">
        <v>35</v>
      </c>
      <c r="L106" s="37">
        <f t="shared" si="4"/>
        <v>70</v>
      </c>
      <c r="M106" s="40">
        <v>4.1666666666666664E-2</v>
      </c>
      <c r="N106" s="40">
        <v>4.1666666666666664E-2</v>
      </c>
      <c r="O106" s="39">
        <f t="shared" si="5"/>
        <v>8.3333333333333329E-2</v>
      </c>
    </row>
    <row r="107" spans="1:15" s="33" customFormat="1" x14ac:dyDescent="0.25">
      <c r="A107" s="81" t="s">
        <v>786</v>
      </c>
      <c r="B107" s="35" t="s">
        <v>502</v>
      </c>
      <c r="C107" s="41" t="s">
        <v>10</v>
      </c>
      <c r="D107" s="35" t="s">
        <v>787</v>
      </c>
      <c r="E107" s="35" t="s">
        <v>788</v>
      </c>
      <c r="F107" s="35" t="s">
        <v>789</v>
      </c>
      <c r="G107" s="35" t="s">
        <v>14</v>
      </c>
      <c r="H107" s="48" t="s">
        <v>790</v>
      </c>
      <c r="I107" s="35" t="s">
        <v>791</v>
      </c>
      <c r="J107" s="35">
        <v>185</v>
      </c>
      <c r="K107" s="35">
        <v>185</v>
      </c>
      <c r="L107" s="37">
        <f t="shared" si="4"/>
        <v>370</v>
      </c>
      <c r="M107" s="40">
        <v>0.10416666666666667</v>
      </c>
      <c r="N107" s="40">
        <v>0.10416666666666667</v>
      </c>
      <c r="O107" s="39">
        <f t="shared" si="5"/>
        <v>0.20833333333333334</v>
      </c>
    </row>
    <row r="108" spans="1:15" x14ac:dyDescent="0.25">
      <c r="A108" s="81" t="s">
        <v>603</v>
      </c>
      <c r="B108" s="35" t="s">
        <v>145</v>
      </c>
      <c r="C108" s="41" t="s">
        <v>10</v>
      </c>
      <c r="D108" s="35" t="s">
        <v>604</v>
      </c>
      <c r="E108" s="35" t="s">
        <v>605</v>
      </c>
      <c r="F108" s="35" t="s">
        <v>129</v>
      </c>
      <c r="G108" s="35" t="s">
        <v>129</v>
      </c>
      <c r="H108" s="35" t="s">
        <v>129</v>
      </c>
      <c r="I108" s="35" t="s">
        <v>606</v>
      </c>
      <c r="J108" s="35">
        <v>30</v>
      </c>
      <c r="K108" s="35">
        <v>30</v>
      </c>
      <c r="L108" s="37">
        <f t="shared" si="4"/>
        <v>60</v>
      </c>
      <c r="M108" s="40">
        <v>4.1666666666666664E-2</v>
      </c>
      <c r="N108" s="40">
        <v>4.1666666666666664E-2</v>
      </c>
      <c r="O108" s="39">
        <f t="shared" si="5"/>
        <v>8.3333333333333329E-2</v>
      </c>
    </row>
    <row r="109" spans="1:15" x14ac:dyDescent="0.25">
      <c r="A109" s="81" t="s">
        <v>607</v>
      </c>
      <c r="B109" s="35" t="s">
        <v>145</v>
      </c>
      <c r="C109" s="35" t="s">
        <v>10</v>
      </c>
      <c r="D109" s="35" t="s">
        <v>608</v>
      </c>
      <c r="E109" s="35" t="s">
        <v>609</v>
      </c>
      <c r="F109" s="35" t="s">
        <v>610</v>
      </c>
      <c r="G109" s="35" t="s">
        <v>166</v>
      </c>
      <c r="H109" s="34" t="s">
        <v>611</v>
      </c>
      <c r="I109" s="35" t="s">
        <v>612</v>
      </c>
      <c r="J109" s="35">
        <v>40</v>
      </c>
      <c r="K109" s="35">
        <v>40</v>
      </c>
      <c r="L109" s="37">
        <f t="shared" si="4"/>
        <v>80</v>
      </c>
      <c r="M109" s="38">
        <v>4.1666666666666664E-2</v>
      </c>
      <c r="N109" s="38">
        <v>4.1666666666666664E-2</v>
      </c>
      <c r="O109" s="39">
        <f t="shared" si="5"/>
        <v>8.3333333333333329E-2</v>
      </c>
    </row>
    <row r="110" spans="1:15" s="33" customFormat="1" x14ac:dyDescent="0.25">
      <c r="A110" s="81" t="s">
        <v>613</v>
      </c>
      <c r="B110" s="35" t="s">
        <v>614</v>
      </c>
      <c r="C110" s="41" t="s">
        <v>10</v>
      </c>
      <c r="D110" s="35" t="s">
        <v>615</v>
      </c>
      <c r="E110" s="35" t="s">
        <v>616</v>
      </c>
      <c r="F110" s="35" t="s">
        <v>129</v>
      </c>
      <c r="G110" s="35" t="s">
        <v>129</v>
      </c>
      <c r="H110" s="35" t="s">
        <v>129</v>
      </c>
      <c r="I110" s="35" t="s">
        <v>129</v>
      </c>
      <c r="J110" s="35">
        <v>35</v>
      </c>
      <c r="K110" s="35">
        <v>35</v>
      </c>
      <c r="L110" s="37">
        <f t="shared" si="4"/>
        <v>70</v>
      </c>
      <c r="M110" s="38">
        <v>4.1666666666666664E-2</v>
      </c>
      <c r="N110" s="38">
        <v>4.1666666666666664E-2</v>
      </c>
      <c r="O110" s="39">
        <f t="shared" si="5"/>
        <v>8.3333333333333329E-2</v>
      </c>
    </row>
    <row r="111" spans="1:15" s="33" customFormat="1" x14ac:dyDescent="0.25">
      <c r="A111" s="81" t="s">
        <v>4</v>
      </c>
      <c r="B111" s="35" t="s">
        <v>176</v>
      </c>
      <c r="C111" s="41" t="s">
        <v>10</v>
      </c>
      <c r="D111" s="47" t="s">
        <v>781</v>
      </c>
      <c r="E111" s="35" t="s">
        <v>782</v>
      </c>
      <c r="F111" s="35" t="s">
        <v>783</v>
      </c>
      <c r="G111" s="35" t="s">
        <v>516</v>
      </c>
      <c r="H111" s="48" t="s">
        <v>784</v>
      </c>
      <c r="I111" s="35" t="s">
        <v>785</v>
      </c>
      <c r="J111" s="35">
        <v>25</v>
      </c>
      <c r="K111" s="35">
        <v>25</v>
      </c>
      <c r="L111" s="37">
        <f>J111+K111</f>
        <v>50</v>
      </c>
      <c r="M111" s="38">
        <v>2.0833333333333332E-2</v>
      </c>
      <c r="N111" s="38">
        <v>2.0833333333333332E-2</v>
      </c>
      <c r="O111" s="39">
        <f>M111+N111</f>
        <v>4.1666666666666664E-2</v>
      </c>
    </row>
    <row r="112" spans="1:15" s="33" customFormat="1" x14ac:dyDescent="0.25">
      <c r="A112" s="81" t="s">
        <v>617</v>
      </c>
      <c r="B112" s="35" t="s">
        <v>136</v>
      </c>
      <c r="C112" s="41" t="s">
        <v>10</v>
      </c>
      <c r="D112" s="42" t="s">
        <v>618</v>
      </c>
      <c r="E112" s="35" t="s">
        <v>619</v>
      </c>
      <c r="F112" s="35" t="s">
        <v>12</v>
      </c>
      <c r="G112" s="35" t="s">
        <v>620</v>
      </c>
      <c r="H112" s="48" t="s">
        <v>621</v>
      </c>
      <c r="I112" s="35" t="s">
        <v>622</v>
      </c>
      <c r="J112" s="35">
        <v>45</v>
      </c>
      <c r="K112" s="35">
        <v>45</v>
      </c>
      <c r="L112" s="37">
        <f t="shared" si="4"/>
        <v>90</v>
      </c>
      <c r="M112" s="38">
        <v>4.1666666666666664E-2</v>
      </c>
      <c r="N112" s="38">
        <v>4.1666666666666664E-2</v>
      </c>
      <c r="O112" s="39">
        <f t="shared" si="5"/>
        <v>8.3333333333333329E-2</v>
      </c>
    </row>
    <row r="113" spans="1:15" s="33" customFormat="1" x14ac:dyDescent="0.25">
      <c r="A113" s="81" t="s">
        <v>623</v>
      </c>
      <c r="B113" s="35" t="s">
        <v>136</v>
      </c>
      <c r="C113" s="41" t="s">
        <v>10</v>
      </c>
      <c r="D113" s="42" t="s">
        <v>624</v>
      </c>
      <c r="E113" s="42" t="s">
        <v>625</v>
      </c>
      <c r="F113" s="35" t="s">
        <v>626</v>
      </c>
      <c r="G113" s="35" t="s">
        <v>14</v>
      </c>
      <c r="H113" s="34" t="s">
        <v>627</v>
      </c>
      <c r="I113" s="35" t="s">
        <v>628</v>
      </c>
      <c r="J113" s="37">
        <v>45</v>
      </c>
      <c r="K113" s="37">
        <v>45</v>
      </c>
      <c r="L113" s="37">
        <f t="shared" si="4"/>
        <v>90</v>
      </c>
      <c r="M113" s="38">
        <v>4.1666666666666664E-2</v>
      </c>
      <c r="N113" s="38">
        <v>4.1666666666666664E-2</v>
      </c>
      <c r="O113" s="39">
        <f t="shared" si="5"/>
        <v>8.3333333333333329E-2</v>
      </c>
    </row>
    <row r="114" spans="1:15" s="33" customFormat="1" x14ac:dyDescent="0.25">
      <c r="A114" s="81" t="s">
        <v>796</v>
      </c>
      <c r="B114" s="35" t="s">
        <v>797</v>
      </c>
      <c r="C114" s="41" t="s">
        <v>10</v>
      </c>
      <c r="D114" s="42" t="s">
        <v>798</v>
      </c>
      <c r="E114" s="42" t="s">
        <v>799</v>
      </c>
      <c r="F114" s="35" t="s">
        <v>801</v>
      </c>
      <c r="G114" s="35" t="s">
        <v>14</v>
      </c>
      <c r="H114" s="34" t="s">
        <v>800</v>
      </c>
      <c r="I114" s="35" t="s">
        <v>129</v>
      </c>
      <c r="J114" s="37">
        <v>70</v>
      </c>
      <c r="K114" s="37">
        <v>70</v>
      </c>
      <c r="L114" s="37">
        <f t="shared" si="4"/>
        <v>140</v>
      </c>
      <c r="M114" s="38">
        <v>4.1666666666666664E-2</v>
      </c>
      <c r="N114" s="38">
        <v>4.1666666666666664E-2</v>
      </c>
      <c r="O114" s="39">
        <f t="shared" si="5"/>
        <v>8.3333333333333329E-2</v>
      </c>
    </row>
    <row r="115" spans="1:15" s="33" customFormat="1" x14ac:dyDescent="0.25">
      <c r="A115" s="81" t="s">
        <v>629</v>
      </c>
      <c r="B115" s="35" t="s">
        <v>132</v>
      </c>
      <c r="C115" s="41" t="s">
        <v>10</v>
      </c>
      <c r="D115" s="35" t="s">
        <v>630</v>
      </c>
      <c r="E115" s="35" t="s">
        <v>631</v>
      </c>
      <c r="F115" s="35" t="s">
        <v>129</v>
      </c>
      <c r="G115" s="35" t="s">
        <v>129</v>
      </c>
      <c r="H115" s="35" t="s">
        <v>129</v>
      </c>
      <c r="I115" s="35" t="s">
        <v>632</v>
      </c>
      <c r="J115" s="37">
        <v>20</v>
      </c>
      <c r="K115" s="37">
        <v>20</v>
      </c>
      <c r="L115" s="37">
        <f t="shared" si="4"/>
        <v>40</v>
      </c>
      <c r="M115" s="38">
        <v>2.0833333333333332E-2</v>
      </c>
      <c r="N115" s="38">
        <v>2.0833333333333332E-2</v>
      </c>
      <c r="O115" s="39">
        <f t="shared" si="5"/>
        <v>4.1666666666666664E-2</v>
      </c>
    </row>
    <row r="116" spans="1:15" s="33" customFormat="1" x14ac:dyDescent="0.25">
      <c r="A116" s="81" t="s">
        <v>633</v>
      </c>
      <c r="B116" s="35" t="s">
        <v>634</v>
      </c>
      <c r="C116" s="41" t="s">
        <v>338</v>
      </c>
      <c r="D116" s="35" t="s">
        <v>635</v>
      </c>
      <c r="E116" s="35" t="s">
        <v>636</v>
      </c>
      <c r="F116" s="35" t="s">
        <v>637</v>
      </c>
      <c r="G116" s="35" t="s">
        <v>638</v>
      </c>
      <c r="H116" s="35"/>
      <c r="I116" s="35"/>
      <c r="J116" s="37">
        <v>560</v>
      </c>
      <c r="K116" s="37">
        <v>560</v>
      </c>
      <c r="L116" s="37">
        <f t="shared" si="4"/>
        <v>1120</v>
      </c>
      <c r="M116" s="38">
        <v>0.375</v>
      </c>
      <c r="N116" s="38">
        <v>0.375</v>
      </c>
      <c r="O116" s="39">
        <f t="shared" si="5"/>
        <v>0.75</v>
      </c>
    </row>
    <row r="117" spans="1:15" x14ac:dyDescent="0.25">
      <c r="A117" s="81" t="s">
        <v>639</v>
      </c>
      <c r="B117" s="35" t="s">
        <v>640</v>
      </c>
      <c r="C117" s="41" t="s">
        <v>10</v>
      </c>
      <c r="D117" s="35" t="s">
        <v>641</v>
      </c>
      <c r="E117" s="35" t="s">
        <v>642</v>
      </c>
      <c r="F117" s="35" t="s">
        <v>129</v>
      </c>
      <c r="G117" s="35" t="s">
        <v>129</v>
      </c>
      <c r="H117" s="35" t="s">
        <v>129</v>
      </c>
      <c r="I117" s="35" t="s">
        <v>643</v>
      </c>
      <c r="J117" s="35">
        <v>170</v>
      </c>
      <c r="K117" s="35">
        <v>170</v>
      </c>
      <c r="L117" s="37">
        <f t="shared" si="4"/>
        <v>340</v>
      </c>
      <c r="M117" s="38">
        <v>8.3333333333333329E-2</v>
      </c>
      <c r="N117" s="38">
        <v>8.3333333333333329E-2</v>
      </c>
      <c r="O117" s="39">
        <f t="shared" si="5"/>
        <v>0.16666666666666666</v>
      </c>
    </row>
    <row r="118" spans="1:15" x14ac:dyDescent="0.25">
      <c r="A118" s="80" t="s">
        <v>644</v>
      </c>
      <c r="B118" s="35" t="s">
        <v>472</v>
      </c>
      <c r="C118" s="35" t="s">
        <v>10</v>
      </c>
      <c r="D118" s="15" t="s">
        <v>129</v>
      </c>
      <c r="E118" s="35" t="s">
        <v>645</v>
      </c>
      <c r="F118" s="35" t="s">
        <v>129</v>
      </c>
      <c r="G118" s="35" t="s">
        <v>129</v>
      </c>
      <c r="H118" s="35" t="s">
        <v>129</v>
      </c>
      <c r="I118" s="35" t="s">
        <v>129</v>
      </c>
      <c r="J118" s="35">
        <v>20</v>
      </c>
      <c r="K118" s="35">
        <v>20</v>
      </c>
      <c r="L118" s="37">
        <f>J118+K118</f>
        <v>40</v>
      </c>
      <c r="M118" s="38">
        <v>2.0833333333333332E-2</v>
      </c>
      <c r="N118" s="38">
        <v>2.0833333333333332E-2</v>
      </c>
      <c r="O118" s="39">
        <f>M118+N118</f>
        <v>4.1666666666666664E-2</v>
      </c>
    </row>
    <row r="119" spans="1:15" x14ac:dyDescent="0.25">
      <c r="A119" s="81" t="s">
        <v>646</v>
      </c>
      <c r="B119" s="35" t="s">
        <v>132</v>
      </c>
      <c r="C119" s="41" t="s">
        <v>10</v>
      </c>
      <c r="D119" s="35" t="s">
        <v>647</v>
      </c>
      <c r="E119" s="35" t="s">
        <v>648</v>
      </c>
      <c r="F119" s="35" t="s">
        <v>129</v>
      </c>
      <c r="G119" s="35" t="s">
        <v>129</v>
      </c>
      <c r="H119" s="35" t="s">
        <v>129</v>
      </c>
      <c r="I119" s="35" t="s">
        <v>649</v>
      </c>
      <c r="J119" s="35">
        <v>10</v>
      </c>
      <c r="K119" s="35">
        <v>10</v>
      </c>
      <c r="L119" s="37">
        <f t="shared" si="4"/>
        <v>20</v>
      </c>
      <c r="M119" s="38">
        <v>1.0416666666666666E-2</v>
      </c>
      <c r="N119" s="38">
        <v>1.0416666666666666E-2</v>
      </c>
      <c r="O119" s="39">
        <f t="shared" si="5"/>
        <v>2.0833333333333332E-2</v>
      </c>
    </row>
    <row r="120" spans="1:15" x14ac:dyDescent="0.25">
      <c r="A120" s="81" t="s">
        <v>650</v>
      </c>
      <c r="B120" s="35" t="s">
        <v>578</v>
      </c>
      <c r="C120" s="41" t="s">
        <v>10</v>
      </c>
      <c r="D120" s="35" t="s">
        <v>651</v>
      </c>
      <c r="E120" s="35" t="s">
        <v>652</v>
      </c>
      <c r="F120" s="35" t="s">
        <v>653</v>
      </c>
      <c r="G120" s="35" t="s">
        <v>14</v>
      </c>
      <c r="H120" s="34" t="s">
        <v>654</v>
      </c>
      <c r="I120" s="35" t="s">
        <v>655</v>
      </c>
      <c r="J120" s="35">
        <v>20</v>
      </c>
      <c r="K120" s="35">
        <v>20</v>
      </c>
      <c r="L120" s="37">
        <f t="shared" si="4"/>
        <v>40</v>
      </c>
      <c r="M120" s="38">
        <v>2.0833333333333332E-2</v>
      </c>
      <c r="N120" s="38">
        <v>2.0833333333333332E-2</v>
      </c>
      <c r="O120" s="39">
        <f t="shared" si="5"/>
        <v>4.1666666666666664E-2</v>
      </c>
    </row>
    <row r="121" spans="1:15" x14ac:dyDescent="0.25">
      <c r="A121" s="81" t="s">
        <v>656</v>
      </c>
      <c r="B121" s="35" t="s">
        <v>132</v>
      </c>
      <c r="C121" s="41" t="s">
        <v>10</v>
      </c>
      <c r="D121" s="35" t="s">
        <v>657</v>
      </c>
      <c r="E121" s="35" t="s">
        <v>658</v>
      </c>
      <c r="F121" s="35" t="s">
        <v>129</v>
      </c>
      <c r="G121" s="35" t="s">
        <v>129</v>
      </c>
      <c r="H121" s="35" t="s">
        <v>129</v>
      </c>
      <c r="I121" s="35" t="s">
        <v>659</v>
      </c>
      <c r="J121" s="37">
        <v>15</v>
      </c>
      <c r="K121" s="37">
        <v>15</v>
      </c>
      <c r="L121" s="37">
        <f t="shared" si="4"/>
        <v>30</v>
      </c>
      <c r="M121" s="38">
        <v>1.0416666666666666E-2</v>
      </c>
      <c r="N121" s="38">
        <v>1.0416666666666666E-2</v>
      </c>
      <c r="O121" s="39">
        <f t="shared" si="5"/>
        <v>2.0833333333333332E-2</v>
      </c>
    </row>
  </sheetData>
  <mergeCells count="13">
    <mergeCell ref="G5:G6"/>
    <mergeCell ref="I5:I6"/>
    <mergeCell ref="H5:H6"/>
    <mergeCell ref="A4:O4"/>
    <mergeCell ref="A1:O3"/>
    <mergeCell ref="A5:A6"/>
    <mergeCell ref="J5:L5"/>
    <mergeCell ref="M5:O5"/>
    <mergeCell ref="C5:C6"/>
    <mergeCell ref="B5:B6"/>
    <mergeCell ref="E5:E6"/>
    <mergeCell ref="D5:D6"/>
    <mergeCell ref="F5:F6"/>
  </mergeCells>
  <phoneticPr fontId="12" type="noConversion"/>
  <hyperlinks>
    <hyperlink ref="H41:H43" r:id="rId1" display="rivaldo.lonardoni@duratex.com.br" xr:uid="{0D5E3727-8B33-4580-9540-422BF0D3A8A9}"/>
    <hyperlink ref="H19" r:id="rId2" xr:uid="{3D9B8BA9-5A7F-4F2C-89A6-00FBFF58A69E}"/>
    <hyperlink ref="H20" r:id="rId3" xr:uid="{68A3199C-F219-4C4E-BADC-1BEE6C21AA4D}"/>
    <hyperlink ref="H22" r:id="rId4" xr:uid="{610AC304-055D-4C1A-A9C0-9DD3E1619911}"/>
    <hyperlink ref="H112" r:id="rId5" xr:uid="{E8642759-0384-4F53-8297-C3C53915FF02}"/>
    <hyperlink ref="H45" r:id="rId6" xr:uid="{E38D6EBF-77EE-4774-B642-10902DA7DB20}"/>
    <hyperlink ref="H97" r:id="rId7" xr:uid="{D3C27D7E-875F-44C5-90C0-25687FD4C9CB}"/>
    <hyperlink ref="H29" r:id="rId8" xr:uid="{F3C70CBB-8B36-4412-A23A-035AC22C9484}"/>
    <hyperlink ref="H30" r:id="rId9" xr:uid="{D5426E29-402E-4A10-9D65-597C945C9209}"/>
    <hyperlink ref="H24" r:id="rId10" xr:uid="{ECE367D5-4DAE-4CB4-BE49-1319AC7C34E4}"/>
    <hyperlink ref="H73" r:id="rId11" xr:uid="{DB1086CA-DB9E-4ACD-B21D-1EAD10B3EF23}"/>
    <hyperlink ref="H120" r:id="rId12" xr:uid="{00BC6879-1412-451B-ACD8-46028D87D93A}"/>
    <hyperlink ref="H40" r:id="rId13" xr:uid="{50170564-D419-4B3C-82D8-17CA430499E3}"/>
    <hyperlink ref="H103" r:id="rId14" xr:uid="{92FD3AA2-CA42-4C28-B0DF-4F1881756856}"/>
    <hyperlink ref="H43" r:id="rId15" xr:uid="{52CBE719-A4AA-480B-9A76-E70FAC2446B7}"/>
    <hyperlink ref="H41" r:id="rId16" xr:uid="{B8335153-48B8-4628-876B-42A15A088D4D}"/>
    <hyperlink ref="H42" r:id="rId17" xr:uid="{E192C71B-3E18-42B0-8437-8A7DF3BF752C}"/>
    <hyperlink ref="H44" r:id="rId18" xr:uid="{A5A230B3-13DD-41DC-AFA4-66A7FC9FF495}"/>
    <hyperlink ref="H21" r:id="rId19" xr:uid="{A25A1006-5298-4C16-B7C0-9E1F232A55AA}"/>
    <hyperlink ref="H23" r:id="rId20" xr:uid="{703A96FE-D987-4760-8CC6-33C10A098674}"/>
    <hyperlink ref="H25" r:id="rId21" xr:uid="{DB687DDF-B877-4F69-990D-EA8870ADCB55}"/>
    <hyperlink ref="H100" r:id="rId22" xr:uid="{E5A270D2-7AC5-4B3F-99FA-939D78004BA3}"/>
    <hyperlink ref="H101" r:id="rId23" xr:uid="{E94B47D9-9B4A-4548-9271-B3B27E8F4D4E}"/>
    <hyperlink ref="H18" r:id="rId24" xr:uid="{810034F7-CBAF-4E2F-B66D-69E801792FE7}"/>
    <hyperlink ref="H51" r:id="rId25" xr:uid="{BBDA3D4E-4B18-4FDF-9477-7F7D24A40349}"/>
    <hyperlink ref="H52" r:id="rId26" xr:uid="{F03F3BBB-8AFA-4125-A546-5D9BA8450814}"/>
    <hyperlink ref="H67" r:id="rId27" xr:uid="{932F9628-F51C-486F-BAB7-D4764493D926}"/>
    <hyperlink ref="H85" r:id="rId28" xr:uid="{5BF3562F-883D-4FC4-81DA-780BABFB94C0}"/>
    <hyperlink ref="H77" r:id="rId29" xr:uid="{E1F50729-7C0D-49D8-B81A-7369255C00C8}"/>
    <hyperlink ref="H93" r:id="rId30" xr:uid="{D871A6EE-054C-482E-B737-8DACBEAF9CCE}"/>
    <hyperlink ref="H113" r:id="rId31" xr:uid="{AB64DE72-430C-4CDF-AFDB-883D215BB70F}"/>
    <hyperlink ref="H105" r:id="rId32" xr:uid="{C338D93D-FEA5-4DBB-B8B9-5CF0B85EA2F8}"/>
    <hyperlink ref="H47" r:id="rId33" xr:uid="{6BE633CB-44CC-49A3-AB36-D7055BBEEFF5}"/>
    <hyperlink ref="H60" r:id="rId34" xr:uid="{BA3F4D97-1159-45BC-AA48-FF7DDF3FCB0D}"/>
    <hyperlink ref="H48" r:id="rId35" xr:uid="{5CD5B3D3-48D0-4BFA-904C-19580E6A6CF3}"/>
    <hyperlink ref="H49" r:id="rId36" xr:uid="{948277D4-8BF8-49D3-AC6B-9A53D8DBB67C}"/>
    <hyperlink ref="H91" r:id="rId37" xr:uid="{E9F0F36F-BFAB-4481-92F6-AFB93A6DC8FB}"/>
    <hyperlink ref="H111" r:id="rId38" xr:uid="{E939D1AB-1095-4D70-905F-87B18E972E6B}"/>
    <hyperlink ref="H79" r:id="rId39" display="mailto:maikon.macedo@plascargroup.com" xr:uid="{33B5FAED-34FB-40A6-8F70-05F86B43AF30}"/>
    <hyperlink ref="H17" r:id="rId40" xr:uid="{70A3E0D3-4D45-41DF-BF11-F0FEBAF1E9C3}"/>
    <hyperlink ref="H63" r:id="rId41" xr:uid="{8E621982-1BB2-44C1-9AF0-B18E944078B4}"/>
    <hyperlink ref="H109" r:id="rId42" xr:uid="{EAA36495-66AE-40CB-A757-635800B851B2}"/>
    <hyperlink ref="H75" r:id="rId43" xr:uid="{D46C867E-9053-4B46-B903-8DAC215867DE}"/>
    <hyperlink ref="H74" r:id="rId44" xr:uid="{148F8A6E-41AB-458A-BAA1-50A3FAC7F60A}"/>
    <hyperlink ref="H89" r:id="rId45" xr:uid="{0D11CABC-6719-4C27-9127-731DF0278729}"/>
    <hyperlink ref="H86" r:id="rId46" xr:uid="{C0ADFCB0-397C-480E-99BB-BCB51499410B}"/>
    <hyperlink ref="H59" r:id="rId47" xr:uid="{41D406CD-375F-4CB1-AA15-1FCCB374951F}"/>
    <hyperlink ref="H33" r:id="rId48" xr:uid="{FB0B2B1F-2B59-427E-8D6B-2AED1CC20F7C}"/>
    <hyperlink ref="H88" r:id="rId49" xr:uid="{69BBD24A-785E-4347-B445-1DFC7C8E3D73}"/>
    <hyperlink ref="H62" r:id="rId50" xr:uid="{664ECD30-88D3-4975-927A-66EE17F421B1}"/>
    <hyperlink ref="H14" r:id="rId51" xr:uid="{17361F81-20CE-4A88-AAD8-B37009CF7DA2}"/>
    <hyperlink ref="H78" r:id="rId52" xr:uid="{4818681E-8429-429A-9272-75713483F763}"/>
    <hyperlink ref="H107" r:id="rId53" xr:uid="{1A641573-B564-4298-AEF3-724C42AB5A1B}"/>
    <hyperlink ref="H114" r:id="rId54" xr:uid="{52C6DB2B-AC28-4C39-995D-41BA91B3F5F9}"/>
    <hyperlink ref="H15" r:id="rId55" xr:uid="{6701E5EC-9402-4560-9A79-B221B3A7C001}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30" orientation="landscape" horizontalDpi="300" verticalDpi="300" r:id="rId56"/>
  <headerFooter alignWithMargins="0">
    <oddHeader>&amp;L
&amp;G</oddHeader>
  </headerFooter>
  <legacyDrawingHF r:id="rId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618B-2599-4E6C-BB87-97601EFED86E}">
  <sheetPr>
    <pageSetUpPr fitToPage="1"/>
  </sheetPr>
  <dimension ref="A1:M27"/>
  <sheetViews>
    <sheetView showGridLines="0" view="pageBreakPreview" zoomScale="90" zoomScaleNormal="100" zoomScaleSheetLayoutView="90" workbookViewId="0">
      <selection activeCell="A17" sqref="A17:XFD17"/>
    </sheetView>
  </sheetViews>
  <sheetFormatPr defaultColWidth="11.44140625" defaultRowHeight="13.2" x14ac:dyDescent="0.25"/>
  <cols>
    <col min="1" max="2" width="33.6640625" style="13" customWidth="1"/>
    <col min="3" max="3" width="23.88671875" style="13" bestFit="1" customWidth="1"/>
    <col min="4" max="4" width="7.33203125" style="13" bestFit="1" customWidth="1"/>
    <col min="5" max="5" width="40.5546875" style="13" bestFit="1" customWidth="1"/>
    <col min="6" max="6" width="22" style="13" bestFit="1" customWidth="1"/>
    <col min="7" max="7" width="15.88671875" style="13" bestFit="1" customWidth="1"/>
    <col min="8" max="13" width="8.5546875" style="13" customWidth="1"/>
    <col min="14" max="16384" width="11.44140625" style="13"/>
  </cols>
  <sheetData>
    <row r="1" spans="1:13" s="14" customFormat="1" ht="22.5" customHeight="1" x14ac:dyDescent="0.25">
      <c r="A1" s="264" t="e" vm="1">
        <v>#VALUE!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6"/>
    </row>
    <row r="2" spans="1:13" s="14" customFormat="1" ht="22.5" customHeight="1" x14ac:dyDescent="0.25">
      <c r="A2" s="267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9"/>
    </row>
    <row r="3" spans="1:13" s="14" customFormat="1" ht="22.5" customHeight="1" thickBot="1" x14ac:dyDescent="0.3">
      <c r="A3" s="270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2"/>
    </row>
    <row r="4" spans="1:13" ht="22.5" customHeight="1" thickBot="1" x14ac:dyDescent="0.3">
      <c r="A4" s="261" t="s">
        <v>660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3"/>
    </row>
    <row r="5" spans="1:13" ht="30" customHeight="1" x14ac:dyDescent="0.25">
      <c r="A5" s="285" t="s">
        <v>661</v>
      </c>
      <c r="B5" s="279" t="s">
        <v>662</v>
      </c>
      <c r="C5" s="279" t="s">
        <v>107</v>
      </c>
      <c r="D5" s="279" t="s">
        <v>108</v>
      </c>
      <c r="E5" s="279" t="s">
        <v>109</v>
      </c>
      <c r="F5" s="279" t="s">
        <v>110</v>
      </c>
      <c r="G5" s="279" t="s">
        <v>114</v>
      </c>
      <c r="H5" s="281" t="s">
        <v>115</v>
      </c>
      <c r="I5" s="282"/>
      <c r="J5" s="283"/>
      <c r="K5" s="281" t="s">
        <v>116</v>
      </c>
      <c r="L5" s="282"/>
      <c r="M5" s="284"/>
    </row>
    <row r="6" spans="1:13" ht="30" customHeight="1" x14ac:dyDescent="0.25">
      <c r="A6" s="286"/>
      <c r="B6" s="280"/>
      <c r="C6" s="280"/>
      <c r="D6" s="280"/>
      <c r="E6" s="280"/>
      <c r="F6" s="280"/>
      <c r="G6" s="280"/>
      <c r="H6" s="50" t="s">
        <v>117</v>
      </c>
      <c r="I6" s="50" t="s">
        <v>118</v>
      </c>
      <c r="J6" s="50" t="s">
        <v>119</v>
      </c>
      <c r="K6" s="50" t="s">
        <v>117</v>
      </c>
      <c r="L6" s="50" t="s">
        <v>118</v>
      </c>
      <c r="M6" s="51" t="s">
        <v>119</v>
      </c>
    </row>
    <row r="7" spans="1:13" x14ac:dyDescent="0.25">
      <c r="A7" s="69" t="s">
        <v>188</v>
      </c>
      <c r="B7" s="70" t="s">
        <v>663</v>
      </c>
      <c r="C7" s="70" t="s">
        <v>664</v>
      </c>
      <c r="D7" s="70" t="s">
        <v>10</v>
      </c>
      <c r="E7" s="78" t="s">
        <v>665</v>
      </c>
      <c r="F7" s="70" t="s">
        <v>666</v>
      </c>
      <c r="G7" s="70" t="s">
        <v>667</v>
      </c>
      <c r="H7" s="70">
        <v>10</v>
      </c>
      <c r="I7" s="70">
        <v>10</v>
      </c>
      <c r="J7" s="71">
        <f>H7+I7</f>
        <v>20</v>
      </c>
      <c r="K7" s="72">
        <v>1.0416666666666666E-2</v>
      </c>
      <c r="L7" s="72">
        <v>6.9444444444444441E-3</v>
      </c>
      <c r="M7" s="73">
        <f>K7+L7</f>
        <v>1.7361111111111112E-2</v>
      </c>
    </row>
    <row r="8" spans="1:13" x14ac:dyDescent="0.25">
      <c r="A8" s="69" t="s">
        <v>188</v>
      </c>
      <c r="B8" s="70" t="s">
        <v>668</v>
      </c>
      <c r="C8" s="70" t="s">
        <v>664</v>
      </c>
      <c r="D8" s="70" t="s">
        <v>10</v>
      </c>
      <c r="E8" s="78" t="s">
        <v>669</v>
      </c>
      <c r="F8" s="70" t="s">
        <v>670</v>
      </c>
      <c r="G8" s="70" t="s">
        <v>671</v>
      </c>
      <c r="H8" s="71">
        <v>15</v>
      </c>
      <c r="I8" s="71">
        <v>15</v>
      </c>
      <c r="J8" s="71">
        <f>H8+I8</f>
        <v>30</v>
      </c>
      <c r="K8" s="79">
        <v>1.0416666666666666E-2</v>
      </c>
      <c r="L8" s="79">
        <v>1.0416666666666666E-2</v>
      </c>
      <c r="M8" s="73">
        <f>K8+L8</f>
        <v>2.0833333333333332E-2</v>
      </c>
    </row>
    <row r="9" spans="1:13" x14ac:dyDescent="0.25">
      <c r="A9" s="66" t="s">
        <v>225</v>
      </c>
      <c r="B9" s="66" t="s">
        <v>672</v>
      </c>
      <c r="C9" s="66" t="s">
        <v>673</v>
      </c>
      <c r="D9" s="74" t="s">
        <v>10</v>
      </c>
      <c r="E9" s="75" t="s">
        <v>674</v>
      </c>
      <c r="F9" s="75" t="s">
        <v>142</v>
      </c>
      <c r="G9" s="66" t="s">
        <v>675</v>
      </c>
      <c r="H9" s="67">
        <v>10</v>
      </c>
      <c r="I9" s="67">
        <v>10</v>
      </c>
      <c r="J9" s="67">
        <f>H9+I9</f>
        <v>20</v>
      </c>
      <c r="K9" s="76">
        <v>1.0416666666666666E-2</v>
      </c>
      <c r="L9" s="76">
        <v>1.0416666666666666E-2</v>
      </c>
      <c r="M9" s="68">
        <f>K9+L9</f>
        <v>2.0833333333333332E-2</v>
      </c>
    </row>
    <row r="10" spans="1:13" x14ac:dyDescent="0.25">
      <c r="A10" s="65" t="s">
        <v>225</v>
      </c>
      <c r="B10" s="66" t="s">
        <v>676</v>
      </c>
      <c r="C10" s="66" t="s">
        <v>677</v>
      </c>
      <c r="D10" s="66" t="s">
        <v>10</v>
      </c>
      <c r="E10" s="77" t="s">
        <v>678</v>
      </c>
      <c r="F10" s="66" t="s">
        <v>142</v>
      </c>
      <c r="G10" s="66" t="s">
        <v>679</v>
      </c>
      <c r="H10" s="66">
        <v>20</v>
      </c>
      <c r="I10" s="66">
        <v>20</v>
      </c>
      <c r="J10" s="67">
        <f t="shared" ref="J10:J27" si="0">H10+I10</f>
        <v>40</v>
      </c>
      <c r="K10" s="76">
        <v>2.0833333333333332E-2</v>
      </c>
      <c r="L10" s="76">
        <v>2.0833333333333332E-2</v>
      </c>
      <c r="M10" s="68">
        <f t="shared" ref="M10:M27" si="1">K10+L10</f>
        <v>4.1666666666666664E-2</v>
      </c>
    </row>
    <row r="11" spans="1:13" x14ac:dyDescent="0.25">
      <c r="A11" s="69" t="s">
        <v>330</v>
      </c>
      <c r="B11" s="70" t="s">
        <v>680</v>
      </c>
      <c r="C11" s="70" t="s">
        <v>344</v>
      </c>
      <c r="D11" s="70" t="s">
        <v>10</v>
      </c>
      <c r="E11" s="70" t="s">
        <v>681</v>
      </c>
      <c r="F11" s="70" t="s">
        <v>682</v>
      </c>
      <c r="G11" s="70" t="s">
        <v>683</v>
      </c>
      <c r="H11" s="71">
        <v>5</v>
      </c>
      <c r="I11" s="71">
        <v>5</v>
      </c>
      <c r="J11" s="71">
        <f t="shared" si="0"/>
        <v>10</v>
      </c>
      <c r="K11" s="72">
        <v>6.9444444444444441E-3</v>
      </c>
      <c r="L11" s="72">
        <v>6.9444444444444441E-3</v>
      </c>
      <c r="M11" s="73">
        <f t="shared" si="1"/>
        <v>1.3888888888888888E-2</v>
      </c>
    </row>
    <row r="12" spans="1:13" x14ac:dyDescent="0.25">
      <c r="A12" s="69" t="s">
        <v>330</v>
      </c>
      <c r="B12" s="70" t="s">
        <v>684</v>
      </c>
      <c r="C12" s="70" t="s">
        <v>344</v>
      </c>
      <c r="D12" s="70" t="s">
        <v>10</v>
      </c>
      <c r="E12" s="70" t="s">
        <v>685</v>
      </c>
      <c r="F12" s="70" t="s">
        <v>682</v>
      </c>
      <c r="G12" s="70" t="s">
        <v>686</v>
      </c>
      <c r="H12" s="70">
        <v>5</v>
      </c>
      <c r="I12" s="70">
        <v>5</v>
      </c>
      <c r="J12" s="71">
        <f t="shared" si="0"/>
        <v>10</v>
      </c>
      <c r="K12" s="72">
        <v>6.9444444444444441E-3</v>
      </c>
      <c r="L12" s="72">
        <v>6.9444444444444441E-3</v>
      </c>
      <c r="M12" s="73">
        <f t="shared" si="1"/>
        <v>1.3888888888888888E-2</v>
      </c>
    </row>
    <row r="13" spans="1:13" ht="12.6" customHeight="1" x14ac:dyDescent="0.25">
      <c r="A13" s="65" t="s">
        <v>687</v>
      </c>
      <c r="B13" s="66" t="s">
        <v>688</v>
      </c>
      <c r="C13" s="66" t="s">
        <v>689</v>
      </c>
      <c r="D13" s="66" t="s">
        <v>204</v>
      </c>
      <c r="E13" s="66" t="s">
        <v>690</v>
      </c>
      <c r="F13" s="66" t="s">
        <v>691</v>
      </c>
      <c r="G13" s="66" t="s">
        <v>692</v>
      </c>
      <c r="H13" s="66">
        <v>8</v>
      </c>
      <c r="I13" s="66">
        <v>8</v>
      </c>
      <c r="J13" s="67">
        <f t="shared" si="0"/>
        <v>16</v>
      </c>
      <c r="K13" s="76">
        <v>1.0416666666666666E-2</v>
      </c>
      <c r="L13" s="76">
        <v>6.9444444444444441E-3</v>
      </c>
      <c r="M13" s="68">
        <f t="shared" si="1"/>
        <v>1.7361111111111112E-2</v>
      </c>
    </row>
    <row r="14" spans="1:13" x14ac:dyDescent="0.25">
      <c r="A14" s="65" t="s">
        <v>687</v>
      </c>
      <c r="B14" s="66" t="s">
        <v>693</v>
      </c>
      <c r="C14" s="66" t="s">
        <v>689</v>
      </c>
      <c r="D14" s="66" t="s">
        <v>204</v>
      </c>
      <c r="E14" s="66" t="s">
        <v>694</v>
      </c>
      <c r="F14" s="66" t="s">
        <v>695</v>
      </c>
      <c r="G14" s="66" t="s">
        <v>696</v>
      </c>
      <c r="H14" s="66">
        <v>7</v>
      </c>
      <c r="I14" s="66">
        <v>7</v>
      </c>
      <c r="J14" s="67">
        <f>H14+I14</f>
        <v>14</v>
      </c>
      <c r="K14" s="76">
        <v>1.0416666666666666E-2</v>
      </c>
      <c r="L14" s="76">
        <v>1.0416666666666666E-2</v>
      </c>
      <c r="M14" s="68">
        <f>K14+L14</f>
        <v>2.0833333333333332E-2</v>
      </c>
    </row>
    <row r="15" spans="1:13" x14ac:dyDescent="0.25">
      <c r="A15" s="69" t="s">
        <v>697</v>
      </c>
      <c r="B15" s="70" t="s">
        <v>698</v>
      </c>
      <c r="C15" s="70" t="s">
        <v>699</v>
      </c>
      <c r="D15" s="70" t="s">
        <v>237</v>
      </c>
      <c r="E15" s="70" t="s">
        <v>700</v>
      </c>
      <c r="F15" s="70" t="s">
        <v>425</v>
      </c>
      <c r="G15" s="70" t="s">
        <v>701</v>
      </c>
      <c r="H15" s="71">
        <v>30</v>
      </c>
      <c r="I15" s="71">
        <v>30</v>
      </c>
      <c r="J15" s="71">
        <f>H15+I15</f>
        <v>60</v>
      </c>
      <c r="K15" s="72">
        <v>1.7361111111111112E-2</v>
      </c>
      <c r="L15" s="72">
        <v>1.7361111111111112E-2</v>
      </c>
      <c r="M15" s="73">
        <f>K15+L15</f>
        <v>3.4722222222222224E-2</v>
      </c>
    </row>
    <row r="16" spans="1:13" s="15" customFormat="1" x14ac:dyDescent="0.25">
      <c r="A16" s="65" t="s">
        <v>702</v>
      </c>
      <c r="B16" s="66" t="s">
        <v>703</v>
      </c>
      <c r="C16" s="66" t="s">
        <v>704</v>
      </c>
      <c r="D16" s="66" t="s">
        <v>237</v>
      </c>
      <c r="E16" s="66" t="s">
        <v>705</v>
      </c>
      <c r="F16" s="66" t="s">
        <v>706</v>
      </c>
      <c r="G16" s="66" t="s">
        <v>707</v>
      </c>
      <c r="H16" s="66">
        <v>30</v>
      </c>
      <c r="I16" s="66">
        <v>30</v>
      </c>
      <c r="J16" s="67">
        <f>H16+I16</f>
        <v>60</v>
      </c>
      <c r="K16" s="76">
        <v>2.7777777777777776E-2</v>
      </c>
      <c r="L16" s="76">
        <v>2.7777777777777776E-2</v>
      </c>
      <c r="M16" s="68">
        <f>K16+L16</f>
        <v>5.5555555555555552E-2</v>
      </c>
    </row>
    <row r="17" spans="1:13" s="15" customFormat="1" x14ac:dyDescent="0.25">
      <c r="A17" s="69" t="s">
        <v>436</v>
      </c>
      <c r="B17" s="70" t="s">
        <v>708</v>
      </c>
      <c r="C17" s="70" t="s">
        <v>437</v>
      </c>
      <c r="D17" s="70" t="s">
        <v>10</v>
      </c>
      <c r="E17" s="70" t="s">
        <v>709</v>
      </c>
      <c r="F17" s="70" t="s">
        <v>142</v>
      </c>
      <c r="G17" s="70" t="s">
        <v>710</v>
      </c>
      <c r="H17" s="70">
        <v>15</v>
      </c>
      <c r="I17" s="70">
        <v>15</v>
      </c>
      <c r="J17" s="71">
        <f>H17+I17</f>
        <v>30</v>
      </c>
      <c r="K17" s="72">
        <v>2.0833333333333332E-2</v>
      </c>
      <c r="L17" s="72">
        <v>2.0833333333333332E-2</v>
      </c>
      <c r="M17" s="73">
        <f>K17+L17</f>
        <v>4.1666666666666664E-2</v>
      </c>
    </row>
    <row r="18" spans="1:13" x14ac:dyDescent="0.25">
      <c r="A18" s="65" t="s">
        <v>505</v>
      </c>
      <c r="B18" s="66" t="s">
        <v>711</v>
      </c>
      <c r="C18" s="66" t="s">
        <v>712</v>
      </c>
      <c r="D18" s="66" t="s">
        <v>10</v>
      </c>
      <c r="E18" s="66" t="s">
        <v>713</v>
      </c>
      <c r="F18" s="66" t="s">
        <v>142</v>
      </c>
      <c r="G18" s="66" t="s">
        <v>714</v>
      </c>
      <c r="H18" s="66">
        <v>12</v>
      </c>
      <c r="I18" s="66">
        <v>13</v>
      </c>
      <c r="J18" s="67">
        <f t="shared" si="0"/>
        <v>25</v>
      </c>
      <c r="K18" s="76">
        <v>2.0833333333333332E-2</v>
      </c>
      <c r="L18" s="76">
        <v>2.0833333333333332E-2</v>
      </c>
      <c r="M18" s="68">
        <f t="shared" si="1"/>
        <v>4.1666666666666664E-2</v>
      </c>
    </row>
    <row r="19" spans="1:13" x14ac:dyDescent="0.25">
      <c r="A19" s="69" t="s">
        <v>483</v>
      </c>
      <c r="B19" s="70" t="s">
        <v>715</v>
      </c>
      <c r="C19" s="70" t="s">
        <v>716</v>
      </c>
      <c r="D19" s="70" t="s">
        <v>10</v>
      </c>
      <c r="E19" s="70" t="s">
        <v>717</v>
      </c>
      <c r="F19" s="70" t="s">
        <v>718</v>
      </c>
      <c r="G19" s="70" t="s">
        <v>719</v>
      </c>
      <c r="H19" s="70">
        <v>31</v>
      </c>
      <c r="I19" s="70">
        <v>17</v>
      </c>
      <c r="J19" s="71">
        <f t="shared" si="0"/>
        <v>48</v>
      </c>
      <c r="K19" s="72">
        <v>2.0833333333333332E-2</v>
      </c>
      <c r="L19" s="72">
        <v>2.0833333333333332E-2</v>
      </c>
      <c r="M19" s="73">
        <f t="shared" si="1"/>
        <v>4.1666666666666664E-2</v>
      </c>
    </row>
    <row r="20" spans="1:13" x14ac:dyDescent="0.25">
      <c r="A20" s="69" t="s">
        <v>720</v>
      </c>
      <c r="B20" s="70" t="s">
        <v>721</v>
      </c>
      <c r="C20" s="70" t="s">
        <v>722</v>
      </c>
      <c r="D20" s="70" t="s">
        <v>10</v>
      </c>
      <c r="E20" s="70" t="s">
        <v>723</v>
      </c>
      <c r="F20" s="70" t="s">
        <v>718</v>
      </c>
      <c r="G20" s="70" t="s">
        <v>724</v>
      </c>
      <c r="H20" s="70">
        <v>25</v>
      </c>
      <c r="I20" s="70">
        <v>12</v>
      </c>
      <c r="J20" s="71">
        <f t="shared" si="0"/>
        <v>37</v>
      </c>
      <c r="K20" s="72">
        <v>2.0833333333333332E-2</v>
      </c>
      <c r="L20" s="72">
        <v>2.0833333333333332E-2</v>
      </c>
      <c r="M20" s="73">
        <f t="shared" si="1"/>
        <v>4.1666666666666664E-2</v>
      </c>
    </row>
    <row r="21" spans="1:13" x14ac:dyDescent="0.25">
      <c r="A21" s="66" t="s">
        <v>725</v>
      </c>
      <c r="B21" s="66" t="s">
        <v>726</v>
      </c>
      <c r="C21" s="66" t="s">
        <v>727</v>
      </c>
      <c r="D21" s="74" t="s">
        <v>204</v>
      </c>
      <c r="E21" s="75" t="s">
        <v>728</v>
      </c>
      <c r="F21" s="75" t="s">
        <v>142</v>
      </c>
      <c r="G21" s="66" t="s">
        <v>729</v>
      </c>
      <c r="H21" s="67">
        <v>10</v>
      </c>
      <c r="I21" s="67">
        <v>10</v>
      </c>
      <c r="J21" s="67">
        <f t="shared" si="0"/>
        <v>20</v>
      </c>
      <c r="K21" s="76">
        <v>1.0416666666666666E-2</v>
      </c>
      <c r="L21" s="76">
        <v>1.0416666666666666E-2</v>
      </c>
      <c r="M21" s="68">
        <f t="shared" si="1"/>
        <v>2.0833333333333332E-2</v>
      </c>
    </row>
    <row r="22" spans="1:13" x14ac:dyDescent="0.25">
      <c r="A22" s="65" t="s">
        <v>725</v>
      </c>
      <c r="B22" s="66" t="s">
        <v>730</v>
      </c>
      <c r="C22" s="66" t="s">
        <v>731</v>
      </c>
      <c r="D22" s="66" t="s">
        <v>204</v>
      </c>
      <c r="E22" s="77" t="s">
        <v>732</v>
      </c>
      <c r="F22" s="66" t="s">
        <v>733</v>
      </c>
      <c r="G22" s="66" t="s">
        <v>734</v>
      </c>
      <c r="H22" s="66">
        <v>12</v>
      </c>
      <c r="I22" s="66">
        <v>23</v>
      </c>
      <c r="J22" s="67">
        <f t="shared" si="0"/>
        <v>35</v>
      </c>
      <c r="K22" s="76">
        <v>1.0416666666666666E-2</v>
      </c>
      <c r="L22" s="76">
        <v>2.0833333333333332E-2</v>
      </c>
      <c r="M22" s="68">
        <f t="shared" si="1"/>
        <v>3.125E-2</v>
      </c>
    </row>
    <row r="23" spans="1:13" s="15" customFormat="1" x14ac:dyDescent="0.25">
      <c r="A23" s="69" t="s">
        <v>735</v>
      </c>
      <c r="B23" s="70" t="s">
        <v>736</v>
      </c>
      <c r="C23" s="70" t="s">
        <v>537</v>
      </c>
      <c r="D23" s="70" t="s">
        <v>10</v>
      </c>
      <c r="E23" s="70" t="s">
        <v>737</v>
      </c>
      <c r="F23" s="70" t="s">
        <v>142</v>
      </c>
      <c r="G23" s="70" t="s">
        <v>738</v>
      </c>
      <c r="H23" s="70">
        <v>12</v>
      </c>
      <c r="I23" s="70">
        <v>12</v>
      </c>
      <c r="J23" s="71">
        <f t="shared" si="0"/>
        <v>24</v>
      </c>
      <c r="K23" s="72">
        <v>2.0833333333333332E-2</v>
      </c>
      <c r="L23" s="72">
        <v>2.0833333333333332E-2</v>
      </c>
      <c r="M23" s="73">
        <f t="shared" si="1"/>
        <v>4.1666666666666664E-2</v>
      </c>
    </row>
    <row r="24" spans="1:13" s="15" customFormat="1" x14ac:dyDescent="0.25">
      <c r="A24" s="65" t="s">
        <v>739</v>
      </c>
      <c r="B24" s="66" t="s">
        <v>740</v>
      </c>
      <c r="C24" s="66" t="s">
        <v>551</v>
      </c>
      <c r="D24" s="66" t="s">
        <v>10</v>
      </c>
      <c r="E24" s="66" t="s">
        <v>741</v>
      </c>
      <c r="F24" s="66" t="s">
        <v>742</v>
      </c>
      <c r="G24" s="66" t="s">
        <v>743</v>
      </c>
      <c r="H24" s="66">
        <v>3</v>
      </c>
      <c r="I24" s="66">
        <v>3</v>
      </c>
      <c r="J24" s="67">
        <f t="shared" si="0"/>
        <v>6</v>
      </c>
      <c r="K24" s="76">
        <v>6.9444444444444441E-3</v>
      </c>
      <c r="L24" s="76">
        <v>6.9444444444444441E-3</v>
      </c>
      <c r="M24" s="68">
        <f t="shared" si="1"/>
        <v>1.3888888888888888E-2</v>
      </c>
    </row>
    <row r="25" spans="1:13" s="15" customFormat="1" x14ac:dyDescent="0.25">
      <c r="A25" s="65" t="s">
        <v>739</v>
      </c>
      <c r="B25" s="66" t="s">
        <v>744</v>
      </c>
      <c r="C25" s="66" t="s">
        <v>745</v>
      </c>
      <c r="D25" s="66" t="s">
        <v>10</v>
      </c>
      <c r="E25" s="66" t="s">
        <v>746</v>
      </c>
      <c r="F25" s="66" t="s">
        <v>747</v>
      </c>
      <c r="G25" s="66" t="s">
        <v>748</v>
      </c>
      <c r="H25" s="66">
        <v>15</v>
      </c>
      <c r="I25" s="66">
        <v>15</v>
      </c>
      <c r="J25" s="67">
        <f t="shared" si="0"/>
        <v>30</v>
      </c>
      <c r="K25" s="76">
        <v>1.0416666666666666E-2</v>
      </c>
      <c r="L25" s="76">
        <v>1.3888888888888888E-2</v>
      </c>
      <c r="M25" s="68">
        <f t="shared" si="1"/>
        <v>2.4305555555555552E-2</v>
      </c>
    </row>
    <row r="26" spans="1:13" x14ac:dyDescent="0.25">
      <c r="A26" s="69" t="s">
        <v>639</v>
      </c>
      <c r="B26" s="70" t="s">
        <v>749</v>
      </c>
      <c r="C26" s="70" t="s">
        <v>750</v>
      </c>
      <c r="D26" s="70" t="s">
        <v>10</v>
      </c>
      <c r="E26" s="70" t="s">
        <v>751</v>
      </c>
      <c r="F26" s="70" t="s">
        <v>142</v>
      </c>
      <c r="G26" s="70" t="s">
        <v>752</v>
      </c>
      <c r="H26" s="70">
        <v>10</v>
      </c>
      <c r="I26" s="70">
        <v>10</v>
      </c>
      <c r="J26" s="71">
        <f t="shared" si="0"/>
        <v>20</v>
      </c>
      <c r="K26" s="72">
        <v>1.0416666666666666E-2</v>
      </c>
      <c r="L26" s="72">
        <v>1.0416666666666666E-2</v>
      </c>
      <c r="M26" s="73">
        <f t="shared" si="1"/>
        <v>2.0833333333333332E-2</v>
      </c>
    </row>
    <row r="27" spans="1:13" x14ac:dyDescent="0.25">
      <c r="A27" s="69" t="s">
        <v>639</v>
      </c>
      <c r="B27" s="70" t="s">
        <v>753</v>
      </c>
      <c r="C27" s="70" t="s">
        <v>750</v>
      </c>
      <c r="D27" s="70" t="s">
        <v>10</v>
      </c>
      <c r="E27" s="70" t="s">
        <v>754</v>
      </c>
      <c r="F27" s="70" t="s">
        <v>142</v>
      </c>
      <c r="G27" s="70" t="s">
        <v>755</v>
      </c>
      <c r="H27" s="70">
        <v>10</v>
      </c>
      <c r="I27" s="70">
        <v>10</v>
      </c>
      <c r="J27" s="71">
        <f t="shared" si="0"/>
        <v>20</v>
      </c>
      <c r="K27" s="72">
        <v>1.0416666666666666E-2</v>
      </c>
      <c r="L27" s="72">
        <v>1.0416666666666666E-2</v>
      </c>
      <c r="M27" s="73">
        <f t="shared" si="1"/>
        <v>2.0833333333333332E-2</v>
      </c>
    </row>
  </sheetData>
  <mergeCells count="11">
    <mergeCell ref="G5:G6"/>
    <mergeCell ref="H5:J5"/>
    <mergeCell ref="K5:M5"/>
    <mergeCell ref="B5:B6"/>
    <mergeCell ref="A1:M3"/>
    <mergeCell ref="A4:M4"/>
    <mergeCell ref="A5:A6"/>
    <mergeCell ref="C5:C6"/>
    <mergeCell ref="D5:D6"/>
    <mergeCell ref="E5:E6"/>
    <mergeCell ref="F5:F6"/>
  </mergeCells>
  <hyperlinks>
    <hyperlink ref="B9" r:id="rId1" display="https://www.srparkhotel.com.br/contato" xr:uid="{F085653C-379D-4272-80D3-2201BC4ADC1D}"/>
    <hyperlink ref="G14" r:id="rId2" display="https://www.google.com/search?q=hotel+avenida+rj&amp;rlz=1C1GCEU_pt-BRBR1049BR1049&amp;hotel_occupancy=2&amp;biw=1536&amp;bih=746&amp;ei=dbdjZIyyNqzX1sQP69yp-AY&amp;gs_ssp=eJzj4tZP1zcsqTAsS8kpNmC0UjaosLQ0MzEzSE40NjZJNk-zMqgwMzG2TDVIMbI0MjQwSDEz8BLIyC9JzVFILEvNy0xJVCjKAgCSPhPL&amp;oq=Hotel+avenida+RJ&amp;gs_lcp=Cgxnd3Mtd2l6LXNlcnAQARgAMhEILhCABBDHARCvARCYBRCZBTIGCAAQFhAeMgYIABAWEB4yBggAEBYQHjIGCAAQFhAeMgYIABAWEB4yBggAEBYQHjIGCAAQFhAeMgYIABAWEB4yBggAEBYQHjIfCC4QgAQQxwEQrwEQmAUQmQUQlwUQ3AQQ3gQQ4AQYAToTCC4QigUQxwEQrwEQmAUQmQUQQzoHCAAQigUQQzoZCC4QigUQxwEQrwEQmAUQ1AIQngUQmQUQQzoWCC4QigUQxwEQrwEQmAUQngUQmQUQQzoICAAQgAQQ5wQ6IQguEIoFEMcBEK8BEJgFEJkFEEMQlwUQ3AQQ3gQQ4AQYATonCC4QigUQxwEQrwEQmAUQ1AIQngUQmQUQQxCXBRDcBBDeBBDgBBgBOgoIABCKBRCxAxBDOgoIABCKBRDJAxBDOggIABCKBRCSAzoZCC4QigUQsQMQgwEQxwEQrwEQmAUQmQUQQzoQCC4QigUQsQMQxwEQ0QMQQzoNCAAQigUQsQMQgwEQQzoFCAAQgAQ6CwgAEIAEEOcEEMkDOggIABCABBCSAzoLCAAQgAQQsQMQgwE6JwguEIoFELEDEIMBEMcBEK8BEJgFEJkFEEMQlwUQ3AQQ3gQQ4AQYAToXCC4QgwEQrwEQxwEQsQMQigUQmAUQmQU6EQguEK8BEMcBEIAEEJgFEJkFSgQIQRgAUABYsCxgo0FoAHABeACAAboBiAG_E5IBBDAuMTaYAQCgAQHAAQHaAQYIARABGBQ&amp;sclient=gws-wiz-serp" xr:uid="{95516BE2-C887-4BAB-85EB-8CED042DDAE3}"/>
    <hyperlink ref="G19" r:id="rId3" display="https://www.google.com/search?q=recepcao.sjc%40carltonhoteis.com.br%09%09%09%0D%0A&amp;source=hp&amp;ei=bsdjZIKPAZmN5OUP1sKKkAk&amp;iflsig=AOEireoAAAAAZGPVfu5hOYXeRXeb63p8xF1CAPW0gK5b&amp;ved=0ahUKEwiC_rmOuPr-AhWZBrkGHVahApIQ4dUDCAk&amp;uact=5&amp;oq=recepcao.sjc%40carltonhoteis.com.br%09%09%09%0D%0A&amp;gs_lcp=Cgdnd3Mtd2l6EAMyCggAEAMQjwEQ6gIyCggAEAMQjwEQ6gIyCggAEAMQjwEQ6gIyCggAEAMQjwEQ6gIyCggAEAMQjwEQ6gIyCggAEAMQjwEQ6gIyCgguEAMQjwEQ6gIyCggAEAMQjwEQ6gIyCggAEAMQjwEQ6gIyCggAEAMQjwEQ6gJQ_QRY_QRgkAxoAXAAeACAAQCIAQCSAQCYAQCgAQKgAQGwAQo&amp;sclient=gws-wiz" xr:uid="{2B66CA88-5E7C-477E-A4AA-0D0CFFAB22D1}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0" orientation="landscape" horizontalDpi="300" verticalDpi="300" r:id="rId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A24"/>
  <sheetViews>
    <sheetView workbookViewId="0">
      <selection activeCell="A27" sqref="A27"/>
    </sheetView>
  </sheetViews>
  <sheetFormatPr defaultRowHeight="13.2" x14ac:dyDescent="0.25"/>
  <cols>
    <col min="1" max="1" width="28.33203125" bestFit="1" customWidth="1"/>
  </cols>
  <sheetData>
    <row r="1" spans="1:1" x14ac:dyDescent="0.25">
      <c r="A1" s="24" t="s">
        <v>756</v>
      </c>
    </row>
    <row r="2" spans="1:1" x14ac:dyDescent="0.25">
      <c r="A2" s="24" t="s">
        <v>757</v>
      </c>
    </row>
    <row r="3" spans="1:1" x14ac:dyDescent="0.25">
      <c r="A3" s="24" t="s">
        <v>758</v>
      </c>
    </row>
    <row r="4" spans="1:1" x14ac:dyDescent="0.25">
      <c r="A4" s="24" t="s">
        <v>759</v>
      </c>
    </row>
    <row r="5" spans="1:1" x14ac:dyDescent="0.25">
      <c r="A5" s="24" t="s">
        <v>760</v>
      </c>
    </row>
    <row r="6" spans="1:1" x14ac:dyDescent="0.25">
      <c r="A6" s="24" t="s">
        <v>761</v>
      </c>
    </row>
    <row r="7" spans="1:1" x14ac:dyDescent="0.25">
      <c r="A7" s="24" t="s">
        <v>762</v>
      </c>
    </row>
    <row r="8" spans="1:1" x14ac:dyDescent="0.25">
      <c r="A8" s="24" t="s">
        <v>763</v>
      </c>
    </row>
    <row r="9" spans="1:1" x14ac:dyDescent="0.25">
      <c r="A9" s="24" t="s">
        <v>764</v>
      </c>
    </row>
    <row r="10" spans="1:1" x14ac:dyDescent="0.25">
      <c r="A10" s="24" t="s">
        <v>765</v>
      </c>
    </row>
    <row r="11" spans="1:1" x14ac:dyDescent="0.25">
      <c r="A11" s="24" t="s">
        <v>766</v>
      </c>
    </row>
    <row r="12" spans="1:1" x14ac:dyDescent="0.25">
      <c r="A12" s="24" t="s">
        <v>767</v>
      </c>
    </row>
    <row r="13" spans="1:1" x14ac:dyDescent="0.25">
      <c r="A13" s="24" t="s">
        <v>768</v>
      </c>
    </row>
    <row r="14" spans="1:1" x14ac:dyDescent="0.25">
      <c r="A14" s="24" t="s">
        <v>769</v>
      </c>
    </row>
    <row r="15" spans="1:1" x14ac:dyDescent="0.25">
      <c r="A15" s="24" t="s">
        <v>770</v>
      </c>
    </row>
    <row r="16" spans="1:1" x14ac:dyDescent="0.25">
      <c r="A16" s="24" t="s">
        <v>771</v>
      </c>
    </row>
    <row r="17" spans="1:1" x14ac:dyDescent="0.25">
      <c r="A17" s="24" t="s">
        <v>772</v>
      </c>
    </row>
    <row r="18" spans="1:1" x14ac:dyDescent="0.25">
      <c r="A18" s="24" t="s">
        <v>773</v>
      </c>
    </row>
    <row r="19" spans="1:1" x14ac:dyDescent="0.25">
      <c r="A19" s="24" t="s">
        <v>774</v>
      </c>
    </row>
    <row r="20" spans="1:1" x14ac:dyDescent="0.25">
      <c r="A20" s="24" t="s">
        <v>775</v>
      </c>
    </row>
    <row r="21" spans="1:1" x14ac:dyDescent="0.25">
      <c r="A21" s="24" t="s">
        <v>776</v>
      </c>
    </row>
    <row r="22" spans="1:1" x14ac:dyDescent="0.25">
      <c r="A22" s="24" t="s">
        <v>777</v>
      </c>
    </row>
    <row r="23" spans="1:1" x14ac:dyDescent="0.25">
      <c r="A23" s="24" t="s">
        <v>778</v>
      </c>
    </row>
    <row r="24" spans="1:1" x14ac:dyDescent="0.25">
      <c r="A24" s="24" t="s">
        <v>779</v>
      </c>
    </row>
  </sheetData>
  <sortState xmlns:xlrd2="http://schemas.microsoft.com/office/spreadsheetml/2017/richdata2" ref="A1:A10">
    <sortCondition ref="A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EBC4C97F3EED4F8F99B50CD61D9AF7" ma:contentTypeVersion="14" ma:contentTypeDescription="Create a new document." ma:contentTypeScope="" ma:versionID="0ffa3ef56536b291ffb1e746207cdfaf">
  <xsd:schema xmlns:xsd="http://www.w3.org/2001/XMLSchema" xmlns:xs="http://www.w3.org/2001/XMLSchema" xmlns:p="http://schemas.microsoft.com/office/2006/metadata/properties" xmlns:ns2="e46781df-dd49-4a0f-be02-040bfbf345c5" xmlns:ns3="c24bca33-91ee-4c94-9d6c-305b441d02fd" targetNamespace="http://schemas.microsoft.com/office/2006/metadata/properties" ma:root="true" ma:fieldsID="82d71f54c8a292e50b13588301f7fd2c" ns2:_="" ns3:_="">
    <xsd:import namespace="e46781df-dd49-4a0f-be02-040bfbf345c5"/>
    <xsd:import namespace="c24bca33-91ee-4c94-9d6c-305b441d02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781df-dd49-4a0f-be02-040bfbf34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6b7d91e-0b02-470c-9132-e16d4725c5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bca33-91ee-4c94-9d6c-305b441d0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34bf991-7ab2-41a5-b6da-1f9b4d8aa24a}" ma:internalName="TaxCatchAll" ma:showField="CatchAllData" ma:web="c24bca33-91ee-4c94-9d6c-305b441d0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4bca33-91ee-4c94-9d6c-305b441d02fd" xsi:nil="true"/>
    <lcf76f155ced4ddcb4097134ff3c332f xmlns="e46781df-dd49-4a0f-be02-040bfbf345c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AB891A-AABF-4B04-8872-1A9CED357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6781df-dd49-4a0f-be02-040bfbf345c5"/>
    <ds:schemaRef ds:uri="c24bca33-91ee-4c94-9d6c-305b441d0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F87E2A-9E0E-44C0-A603-7E661F8ABEB3}">
  <ds:schemaRefs>
    <ds:schemaRef ds:uri="http://schemas.microsoft.com/office/2006/metadata/properties"/>
    <ds:schemaRef ds:uri="http://schemas.microsoft.com/office/infopath/2007/PartnerControls"/>
    <ds:schemaRef ds:uri="c24bca33-91ee-4c94-9d6c-305b441d02fd"/>
    <ds:schemaRef ds:uri="e46781df-dd49-4a0f-be02-040bfbf345c5"/>
  </ds:schemaRefs>
</ds:datastoreItem>
</file>

<file path=customXml/itemProps3.xml><?xml version="1.0" encoding="utf-8"?>
<ds:datastoreItem xmlns:ds="http://schemas.openxmlformats.org/officeDocument/2006/customXml" ds:itemID="{FA908177-54FE-4386-8E64-F855D4FAA6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Frente - Relatório de SC - 1</vt:lpstr>
      <vt:lpstr>Verso - Relatório de SC - 2</vt:lpstr>
      <vt:lpstr>KM e Tempo Percurso</vt:lpstr>
      <vt:lpstr>KM Hotel</vt:lpstr>
      <vt:lpstr>Profissionais</vt:lpstr>
      <vt:lpstr>'Frente - Relatório de SC - 1'!Area_de_impressao</vt:lpstr>
      <vt:lpstr>'KM e Tempo Percurso'!Area_de_impressao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Fontes</dc:creator>
  <cp:keywords>AFA</cp:keywords>
  <dc:description/>
  <cp:lastModifiedBy>Gustavo Dias Arruda</cp:lastModifiedBy>
  <cp:revision/>
  <cp:lastPrinted>2026-09-11T08:10:36Z</cp:lastPrinted>
  <dcterms:created xsi:type="dcterms:W3CDTF">2000-01-10T11:10:21Z</dcterms:created>
  <dcterms:modified xsi:type="dcterms:W3CDTF">2026-09-11T08:10:37Z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0x010100E2EBC4C97F3EED4F8F99B50CD61D9AF7</vt:lpwstr>
  </property>
  <property fmtid="{D5CDD505-2E9C-101B-9397-08002B2CF9AE}" pid="3" name="MediaServiceImageTags">
    <vt:lpwstr/>
  </property>
</Properties>
</file>