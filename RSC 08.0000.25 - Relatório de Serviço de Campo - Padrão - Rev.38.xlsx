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-my.sharepoint.com/personal/gustavo_arruda_ktsa_com_br/Documents/PROJETOS/Engenharia/RSC - Relatório de Serviço de Campo/"/>
    </mc:Choice>
  </mc:AlternateContent>
  <xr:revisionPtr revIDLastSave="76" documentId="13_ncr:1_{F948FEA9-3545-4234-B576-12B0A63E47C7}" xr6:coauthVersionLast="47" xr6:coauthVersionMax="47" xr10:uidLastSave="{E338B357-8362-4DFD-917E-C150B06CB850}"/>
  <bookViews>
    <workbookView xWindow="-108" yWindow="-108" windowWidth="23256" windowHeight="12456" tabRatio="688" activeTab="1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<sst xmlns="http://schemas.openxmlformats.org/spreadsheetml/2006/main" count="1328" uniqueCount="807">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</sst>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84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left" vertical="center"/>
    </xf>
    <xf numFmtId="49" fontId="2" fillId="0" borderId="0" xfId="3" applyNumberFormat="1" applyAlignment="1">
      <alignment horizontal="center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166" fontId="18" fillId="0" borderId="29" xfId="0" applyNumberFormat="1" applyFont="1" applyBorder="1" applyAlignment="1">
      <alignment horizontal="center" vertical="center"/>
    </xf>
    <xf numFmtId="166" fontId="18" fillId="0" borderId="30" xfId="0" applyNumberFormat="1" applyFont="1" applyBorder="1" applyAlignment="1">
      <alignment horizontal="center" vertical="center"/>
    </xf>
    <xf numFmtId="166" fontId="18" fillId="0" borderId="31" xfId="0" applyNumberFormat="1" applyFont="1" applyBorder="1" applyAlignment="1">
      <alignment horizontal="center" vertical="center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16" fillId="0" borderId="6" xfId="0" applyFont="1" applyBorder="1" applyAlignment="1">
      <alignment horizontal="center" vertical="center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0" fontId="2" fillId="0" borderId="22" xfId="0" applyFont="1" applyBorder="1" applyAlignment="1" applyProtection="1">
      <alignment horizontal="left"/>
      <protection locked="0"/>
    </xf>
    <xf numFmtId="0" fontId="0" fillId="0" borderId="22" xfId="0" applyBorder="1" applyAlignment="1" applyProtection="1">
      <alignment horizontal="left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view="pageBreakPreview" topLeftCell="Y17" zoomScale="175" zoomScaleNormal="100" zoomScaleSheetLayoutView="175" workbookViewId="0">
      <selection activeCell="AV21" sqref="AV21:AZ21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67"/>
      <c r="B1" s="168"/>
      <c r="C1" s="168"/>
      <c r="D1" s="168"/>
      <c r="E1" s="168"/>
      <c r="F1" s="168"/>
      <c r="G1" s="168"/>
      <c r="H1" s="16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6" t="s">
        <v>0</v>
      </c>
      <c r="AT1" s="177"/>
      <c r="AU1" s="177"/>
      <c r="AV1" s="177"/>
      <c r="AW1" s="177"/>
      <c r="AX1" s="177"/>
      <c r="AY1" s="177"/>
      <c r="AZ1" s="178"/>
      <c r="BD1" s="23"/>
      <c r="BF1" s="27"/>
      <c r="BG1" s="27"/>
    </row>
    <row r="2" spans="1:60" s="3" customFormat="1" ht="22.5" customHeight="1" x14ac:dyDescent="0.25">
      <c r="A2" s="170"/>
      <c r="B2" s="171"/>
      <c r="C2" s="171"/>
      <c r="D2" s="171"/>
      <c r="E2" s="171"/>
      <c r="F2" s="171"/>
      <c r="G2" s="171"/>
      <c r="H2" s="172"/>
      <c r="K2" s="186" t="s">
        <v>1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7"/>
      <c r="AO2" s="187"/>
      <c r="AP2" s="187"/>
      <c r="AQ2" s="17"/>
      <c r="AR2" s="17"/>
      <c r="AS2" s="179"/>
      <c r="AT2" s="180"/>
      <c r="AU2" s="180"/>
      <c r="AV2" s="180"/>
      <c r="AW2" s="180"/>
      <c r="AX2" s="180"/>
      <c r="AY2" s="180"/>
      <c r="AZ2" s="181"/>
      <c r="BA2" s="7"/>
      <c r="BF2" s="25"/>
      <c r="BG2" s="25"/>
      <c r="BH2" s="25"/>
    </row>
    <row r="3" spans="1:60" s="3" customFormat="1" ht="22.5" customHeight="1" thickBot="1" x14ac:dyDescent="0.3">
      <c r="A3" s="173"/>
      <c r="B3" s="174"/>
      <c r="C3" s="174"/>
      <c r="D3" s="174"/>
      <c r="E3" s="174"/>
      <c r="F3" s="174"/>
      <c r="G3" s="174"/>
      <c r="H3" s="1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2"/>
      <c r="AT3" s="183"/>
      <c r="AU3" s="183"/>
      <c r="AV3" s="183"/>
      <c r="AW3" s="183"/>
      <c r="AX3" s="183"/>
      <c r="AY3" s="183"/>
      <c r="AZ3" s="184"/>
    </row>
    <row r="4" spans="1:60" s="3" customFormat="1" ht="18.75" customHeight="1" thickBot="1" x14ac:dyDescent="0.35">
      <c r="A4" s="188" t="s">
        <v>2</v>
      </c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89"/>
      <c r="AP4" s="189"/>
      <c r="AQ4" s="189"/>
      <c r="AR4" s="189"/>
      <c r="AS4" s="189"/>
      <c r="AT4" s="189"/>
      <c r="AU4" s="189"/>
      <c r="AV4" s="189"/>
      <c r="AW4" s="189"/>
      <c r="AX4" s="189"/>
      <c r="AY4" s="189"/>
      <c r="AZ4" s="190"/>
      <c r="BA4" s="9"/>
      <c r="BB4" s="9"/>
      <c r="BC4" s="9"/>
    </row>
    <row r="5" spans="1:60" s="3" customFormat="1" ht="22.5" customHeight="1" x14ac:dyDescent="0.3">
      <c r="A5" s="194" t="s">
        <v>3</v>
      </c>
      <c r="B5" s="195"/>
      <c r="C5" s="195"/>
      <c r="D5" s="195"/>
      <c r="E5" s="195"/>
      <c r="F5" s="195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55"/>
      <c r="AD5" s="58"/>
      <c r="AE5" s="103" t="s">
        <v>5</v>
      </c>
      <c r="AF5" s="103"/>
      <c r="AG5" s="103"/>
      <c r="AH5" s="103"/>
      <c r="AI5" s="103"/>
      <c r="AJ5" s="103"/>
      <c r="AK5" s="103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207"/>
      <c r="AX5" s="207"/>
      <c r="AY5" s="207"/>
      <c r="AZ5" s="208"/>
      <c r="BA5"/>
      <c r="BB5" s="9"/>
      <c r="BC5" s="9"/>
      <c r="BD5" s="9"/>
    </row>
    <row r="6" spans="1:60" customFormat="1" ht="22.5" customHeight="1" x14ac:dyDescent="0.25">
      <c r="A6" s="194" t="s">
        <v>6</v>
      </c>
      <c r="B6" s="195"/>
      <c r="C6" s="195"/>
      <c r="D6" s="195"/>
      <c r="E6" s="195"/>
      <c r="F6" s="195"/>
      <c r="G6" s="88" t="str">
        <f>IF(G5="","",VLOOKUP(G5,'KM e Tempo Percurso'!A7:O201,4,0))</f>
        <v/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185"/>
    </row>
    <row r="7" spans="1:60" s="10" customFormat="1" ht="22.5" customHeight="1" x14ac:dyDescent="0.25">
      <c r="A7" s="194" t="s">
        <v>7</v>
      </c>
      <c r="B7" s="195"/>
      <c r="C7" s="195"/>
      <c r="D7" s="195"/>
      <c r="E7" s="195"/>
      <c r="F7" s="195"/>
      <c r="G7" s="88" t="str">
        <f>IF(G5="","",VLOOKUP(G5,'KM e Tempo Percurso'!A7:O201,5,0))</f>
        <v/>
      </c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57"/>
      <c r="V7" s="160" t="s">
        <v>8</v>
      </c>
      <c r="W7" s="160"/>
      <c r="X7" s="160"/>
      <c r="Y7" s="160"/>
      <c r="Z7" s="88" t="str">
        <f>IF(G5="","",VLOOKUP(G5,'KM e Tempo Percurso'!A7:O201,2,0))</f>
        <v/>
      </c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57"/>
      <c r="AR7" s="160" t="s">
        <v>9</v>
      </c>
      <c r="AS7" s="160"/>
      <c r="AT7" s="160"/>
      <c r="AU7" s="160"/>
      <c r="AV7" s="101" t="str">
        <f>IF(G5="","",VLOOKUP(G5,'KM e Tempo Percurso'!A7:O201,3,0))</f>
        <v/>
      </c>
      <c r="AW7" s="101"/>
      <c r="AX7" s="101"/>
      <c r="AY7" s="101"/>
      <c r="AZ7" s="102"/>
      <c r="BA7"/>
    </row>
    <row r="8" spans="1:60" s="10" customFormat="1" ht="22.5" customHeight="1" x14ac:dyDescent="0.25">
      <c r="A8" s="201" t="s">
        <v>11</v>
      </c>
      <c r="B8" s="202"/>
      <c r="C8" s="202"/>
      <c r="D8" s="202"/>
      <c r="E8" s="202"/>
      <c r="F8" s="202"/>
      <c r="G8" s="203" t="str">
        <f>IF(G5="","",VLOOKUP(G5,'KM e Tempo Percurso'!A7:O201,6,0))</f>
        <v/>
      </c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59"/>
      <c r="AE8" s="161" t="s">
        <v>13</v>
      </c>
      <c r="AF8" s="161"/>
      <c r="AG8" s="161"/>
      <c r="AH8" s="161"/>
      <c r="AI8" s="161"/>
      <c r="AJ8" s="161"/>
      <c r="AK8" s="161"/>
      <c r="AL8" s="90" t="str">
        <f>IF(G5="","",VLOOKUP(G5,'KM e Tempo Percurso'!A7:O201,7,0))</f>
        <v/>
      </c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  <c r="AY8" s="90"/>
      <c r="AZ8" s="91"/>
    </row>
    <row r="9" spans="1:60" s="10" customFormat="1" ht="22.5" customHeight="1" x14ac:dyDescent="0.25">
      <c r="A9" s="201" t="s">
        <v>15</v>
      </c>
      <c r="B9" s="202"/>
      <c r="C9" s="202"/>
      <c r="D9" s="202"/>
      <c r="E9" s="202"/>
      <c r="F9" s="202"/>
      <c r="G9" s="205" t="str">
        <f>IF(G5="","",VLOOKUP(G5,'KM e Tempo Percurso'!A7:O201,8,0))</f>
        <v/>
      </c>
      <c r="H9" s="206"/>
      <c r="I9" s="206"/>
      <c r="J9" s="206"/>
      <c r="K9" s="206"/>
      <c r="L9" s="206"/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59"/>
      <c r="AE9" s="103" t="s">
        <v>17</v>
      </c>
      <c r="AF9" s="103"/>
      <c r="AG9" s="103"/>
      <c r="AH9" s="103"/>
      <c r="AI9" s="103"/>
      <c r="AJ9" s="103"/>
      <c r="AK9" s="103"/>
      <c r="AL9" s="191" t="str">
        <f>IF(G5="","",VLOOKUP(G5,'KM e Tempo Percurso'!A7:O201,9,0))</f>
        <v/>
      </c>
      <c r="AM9" s="192"/>
      <c r="AN9" s="192"/>
      <c r="AO9" s="192"/>
      <c r="AP9" s="192"/>
      <c r="AQ9" s="192"/>
      <c r="AR9" s="192"/>
      <c r="AS9" s="192"/>
      <c r="AT9" s="192"/>
      <c r="AU9" s="192"/>
      <c r="AV9" s="192"/>
      <c r="AW9" s="192"/>
      <c r="AX9" s="192"/>
      <c r="AY9" s="192"/>
      <c r="AZ9" s="193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89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1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2"/>
    </row>
    <row r="14" spans="1:60" s="10" customFormat="1" ht="11.25" customHeight="1" thickBot="1" x14ac:dyDescent="0.3">
      <c r="A14" s="104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6"/>
      <c r="BC14" s="24"/>
    </row>
    <row r="15" spans="1:60" s="2" customFormat="1" ht="11.25" customHeight="1" thickBot="1" x14ac:dyDescent="0.3">
      <c r="A15" s="145"/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</row>
    <row r="16" spans="1:60" s="10" customFormat="1" ht="18.75" customHeight="1" thickBot="1" x14ac:dyDescent="0.3">
      <c r="A16" s="107" t="s">
        <v>30</v>
      </c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9"/>
    </row>
    <row r="17" spans="1:62" s="10" customFormat="1" ht="18.75" customHeight="1" x14ac:dyDescent="0.25">
      <c r="A17" s="198" t="s">
        <v>31</v>
      </c>
      <c r="B17" s="199"/>
      <c r="C17" s="199"/>
      <c r="D17" s="199"/>
      <c r="E17" s="199"/>
      <c r="F17" s="199"/>
      <c r="G17" s="199"/>
      <c r="H17" s="199"/>
      <c r="I17" s="199"/>
      <c r="J17" s="199"/>
      <c r="K17" s="199"/>
      <c r="L17" s="199"/>
      <c r="M17" s="196" t="s">
        <v>32</v>
      </c>
      <c r="N17" s="197"/>
      <c r="O17" s="197"/>
      <c r="P17" s="197"/>
      <c r="Q17" s="197"/>
      <c r="R17" s="113" t="s">
        <v>33</v>
      </c>
      <c r="S17" s="114"/>
      <c r="T17" s="114"/>
      <c r="U17" s="114"/>
      <c r="V17" s="115"/>
      <c r="W17" s="113" t="s">
        <v>34</v>
      </c>
      <c r="X17" s="114"/>
      <c r="Y17" s="114"/>
      <c r="Z17" s="114"/>
      <c r="AA17" s="115"/>
      <c r="AB17" s="113" t="s">
        <v>35</v>
      </c>
      <c r="AC17" s="114"/>
      <c r="AD17" s="114"/>
      <c r="AE17" s="114"/>
      <c r="AF17" s="115"/>
      <c r="AG17" s="113" t="s">
        <v>36</v>
      </c>
      <c r="AH17" s="114"/>
      <c r="AI17" s="114"/>
      <c r="AJ17" s="114"/>
      <c r="AK17" s="115"/>
      <c r="AL17" s="113" t="s">
        <v>37</v>
      </c>
      <c r="AM17" s="114"/>
      <c r="AN17" s="114"/>
      <c r="AO17" s="114"/>
      <c r="AP17" s="115"/>
      <c r="AQ17" s="113" t="s">
        <v>38</v>
      </c>
      <c r="AR17" s="114"/>
      <c r="AS17" s="114"/>
      <c r="AT17" s="114"/>
      <c r="AU17" s="115"/>
      <c r="AV17" s="110" t="s">
        <v>32</v>
      </c>
      <c r="AW17" s="111"/>
      <c r="AX17" s="111"/>
      <c r="AY17" s="111"/>
      <c r="AZ17" s="112"/>
    </row>
    <row r="18" spans="1:62" s="10" customFormat="1" ht="18.75" customHeight="1" thickBot="1" x14ac:dyDescent="0.3">
      <c r="A18" s="227" t="s">
        <v>39</v>
      </c>
      <c r="B18" s="228"/>
      <c r="C18" s="228"/>
      <c r="D18" s="228"/>
      <c r="E18" s="228"/>
      <c r="F18" s="228"/>
      <c r="G18" s="228"/>
      <c r="H18" s="228"/>
      <c r="I18" s="228"/>
      <c r="J18" s="228"/>
      <c r="K18" s="228"/>
      <c r="L18" s="229"/>
      <c r="M18" s="226"/>
      <c r="N18" s="120"/>
      <c r="O18" s="120"/>
      <c r="P18" s="120"/>
      <c r="Q18" s="120"/>
      <c r="R18" s="119"/>
      <c r="S18" s="120"/>
      <c r="T18" s="120"/>
      <c r="U18" s="120"/>
      <c r="V18" s="120"/>
      <c r="W18" s="119"/>
      <c r="X18" s="120"/>
      <c r="Y18" s="120"/>
      <c r="Z18" s="120"/>
      <c r="AA18" s="120"/>
      <c r="AB18" s="119"/>
      <c r="AC18" s="120"/>
      <c r="AD18" s="120"/>
      <c r="AE18" s="120"/>
      <c r="AF18" s="120"/>
      <c r="AG18" s="119"/>
      <c r="AH18" s="120"/>
      <c r="AI18" s="120"/>
      <c r="AJ18" s="120"/>
      <c r="AK18" s="120"/>
      <c r="AL18" s="119"/>
      <c r="AM18" s="120"/>
      <c r="AN18" s="120"/>
      <c r="AO18" s="120"/>
      <c r="AP18" s="120"/>
      <c r="AQ18" s="119"/>
      <c r="AR18" s="120"/>
      <c r="AS18" s="120"/>
      <c r="AT18" s="120"/>
      <c r="AU18" s="120"/>
      <c r="AV18" s="116"/>
      <c r="AW18" s="117"/>
      <c r="AX18" s="117"/>
      <c r="AY18" s="117"/>
      <c r="AZ18" s="118"/>
      <c r="BD18" s="26"/>
    </row>
    <row r="19" spans="1:62" s="10" customFormat="1" ht="18.75" customHeight="1" x14ac:dyDescent="0.25">
      <c r="A19" s="217" t="s">
        <v>40</v>
      </c>
      <c r="B19" s="218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1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209"/>
      <c r="AC19" s="162"/>
      <c r="AD19" s="162"/>
      <c r="AE19" s="162"/>
      <c r="AF19" s="162"/>
      <c r="AG19" s="209"/>
      <c r="AH19" s="162"/>
      <c r="AI19" s="162"/>
      <c r="AJ19" s="162"/>
      <c r="AK19" s="162"/>
      <c r="AL19" s="209"/>
      <c r="AM19" s="162"/>
      <c r="AN19" s="162"/>
      <c r="AO19" s="162"/>
      <c r="AP19" s="162"/>
      <c r="AQ19" s="209"/>
      <c r="AR19" s="162"/>
      <c r="AS19" s="162"/>
      <c r="AT19" s="162"/>
      <c r="AU19" s="162"/>
      <c r="AV19" s="209"/>
      <c r="AW19" s="162"/>
      <c r="AX19" s="162"/>
      <c r="AY19" s="162"/>
      <c r="AZ19" s="230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220" t="s">
        <v>41</v>
      </c>
      <c r="B20" s="221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1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163"/>
      <c r="AY20" s="163"/>
      <c r="AZ20" s="165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220" t="s">
        <v>42</v>
      </c>
      <c r="B21" s="221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1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6"/>
      <c r="BC21" s="29"/>
      <c r="BD21" s="87"/>
      <c r="BE21" s="87"/>
      <c r="BF21" s="29"/>
      <c r="BG21" s="29"/>
      <c r="BH21" s="29"/>
      <c r="BI21" s="29"/>
      <c r="BJ21" s="29"/>
    </row>
    <row r="22" spans="1:62" s="10" customFormat="1" ht="18.75" customHeight="1" x14ac:dyDescent="0.25">
      <c r="A22" s="220" t="s">
        <v>43</v>
      </c>
      <c r="B22" s="221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14" t="str">
        <f>IF(G5="","",VLOOKUP(G5,'KM e Tempo Percurso'!A7:O201,13,0))</f>
        <v/>
      </c>
      <c r="N22" s="164"/>
      <c r="O22" s="164"/>
      <c r="P22" s="164"/>
      <c r="Q22" s="164"/>
      <c r="R22" s="164" t="str">
        <f>IF(G5="","",VLOOKUP(G5,'KM e Tempo Percurso'!A7:O201,13,0))</f>
        <v/>
      </c>
      <c r="S22" s="164"/>
      <c r="T22" s="164"/>
      <c r="U22" s="164"/>
      <c r="V22" s="164"/>
      <c r="W22" s="164" t="str">
        <f>IF(G5="","",VLOOKUP(G5,'KM e Tempo Percurso'!A7:O201,13,0))</f>
        <v/>
      </c>
      <c r="X22" s="164"/>
      <c r="Y22" s="164"/>
      <c r="Z22" s="164"/>
      <c r="AA22" s="164"/>
      <c r="AB22" s="164" t="str">
        <f>IF(G5="","",VLOOKUP(G5,'KM e Tempo Percurso'!A7:O201,13,0))</f>
        <v/>
      </c>
      <c r="AC22" s="164"/>
      <c r="AD22" s="164"/>
      <c r="AE22" s="164"/>
      <c r="AF22" s="164"/>
      <c r="AG22" s="164" t="str">
        <f>IF(G5="","",VLOOKUP(G5,'KM e Tempo Percurso'!A7:O201,13,0))</f>
        <v/>
      </c>
      <c r="AH22" s="164"/>
      <c r="AI22" s="164"/>
      <c r="AJ22" s="164"/>
      <c r="AK22" s="164"/>
      <c r="AL22" s="164" t="str">
        <f>IF(G5="","",VLOOKUP(G5,'KM e Tempo Percurso'!A7:O201,13,0))</f>
        <v/>
      </c>
      <c r="AM22" s="164"/>
      <c r="AN22" s="164"/>
      <c r="AO22" s="164"/>
      <c r="AP22" s="164"/>
      <c r="AQ22" s="164" t="str">
        <f>IF(G5="","",VLOOKUP(G5,'KM e Tempo Percurso'!A7:O201,13,0))</f>
        <v/>
      </c>
      <c r="AR22" s="164"/>
      <c r="AS22" s="164"/>
      <c r="AT22" s="164"/>
      <c r="AU22" s="164"/>
      <c r="AV22" s="164" t="str">
        <f>IF(G5="","",VLOOKUP(G5,'KM e Tempo Percurso'!A7:O201,13,0))</f>
        <v/>
      </c>
      <c r="AW22" s="164"/>
      <c r="AX22" s="164"/>
      <c r="AY22" s="164"/>
      <c r="AZ22" s="166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220" t="s">
        <v>44</v>
      </c>
      <c r="B23" s="221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14" t="str">
        <f>IF(G5="","",VLOOKUP(G5,'KM e Tempo Percurso'!A7:O201,14,0))</f>
        <v/>
      </c>
      <c r="N23" s="164"/>
      <c r="O23" s="164"/>
      <c r="P23" s="164"/>
      <c r="Q23" s="164"/>
      <c r="R23" s="164" t="str">
        <f>IF(G5="","",VLOOKUP(G5,'KM e Tempo Percurso'!A7:O201,14,0))</f>
        <v/>
      </c>
      <c r="S23" s="164"/>
      <c r="T23" s="164"/>
      <c r="U23" s="164"/>
      <c r="V23" s="164"/>
      <c r="W23" s="164" t="str">
        <f>IF(G5="","",VLOOKUP(G5,'KM e Tempo Percurso'!A7:O201,14,0))</f>
        <v/>
      </c>
      <c r="X23" s="164"/>
      <c r="Y23" s="164"/>
      <c r="Z23" s="164"/>
      <c r="AA23" s="164"/>
      <c r="AB23" s="164" t="str">
        <f>IF(G5="","",VLOOKUP(G5,'KM e Tempo Percurso'!A7:O201,14,0))</f>
        <v/>
      </c>
      <c r="AC23" s="164"/>
      <c r="AD23" s="164"/>
      <c r="AE23" s="164"/>
      <c r="AF23" s="164"/>
      <c r="AG23" s="164" t="str">
        <f>IF(G5="","",VLOOKUP(G5,'KM e Tempo Percurso'!A7:O201,14,0))</f>
        <v/>
      </c>
      <c r="AH23" s="164"/>
      <c r="AI23" s="164"/>
      <c r="AJ23" s="164"/>
      <c r="AK23" s="164"/>
      <c r="AL23" s="164" t="str">
        <f>IF(G5="","",VLOOKUP(G5,'KM e Tempo Percurso'!A7:O201,14,0))</f>
        <v/>
      </c>
      <c r="AM23" s="164"/>
      <c r="AN23" s="164"/>
      <c r="AO23" s="164"/>
      <c r="AP23" s="164"/>
      <c r="AQ23" s="164" t="str">
        <f>IF(G5="","",VLOOKUP(G5,'KM e Tempo Percurso'!A7:O201,14,0))</f>
        <v/>
      </c>
      <c r="AR23" s="164"/>
      <c r="AS23" s="164"/>
      <c r="AT23" s="164"/>
      <c r="AU23" s="164"/>
      <c r="AV23" s="164" t="str">
        <f>IF(G5="","",VLOOKUP(G5,'KM e Tempo Percurso'!A7:O201,14,0))</f>
        <v/>
      </c>
      <c r="AW23" s="164"/>
      <c r="AX23" s="164"/>
      <c r="AY23" s="164"/>
      <c r="AZ23" s="166"/>
      <c r="BC23" s="32"/>
      <c r="BD23" s="87"/>
      <c r="BE23" s="87"/>
      <c r="BF23" s="32"/>
      <c r="BG23" s="32"/>
      <c r="BH23" s="32"/>
      <c r="BI23" s="32"/>
      <c r="BJ23" s="32"/>
    </row>
    <row r="24" spans="1:62" s="10" customFormat="1" ht="18.75" customHeight="1" x14ac:dyDescent="0.25">
      <c r="A24" s="220" t="s">
        <v>45</v>
      </c>
      <c r="B24" s="221"/>
      <c r="C24" s="221"/>
      <c r="D24" s="221"/>
      <c r="E24" s="221"/>
      <c r="F24" s="221"/>
      <c r="G24" s="221"/>
      <c r="H24" s="221"/>
      <c r="I24" s="221"/>
      <c r="J24" s="221"/>
      <c r="K24" s="221"/>
      <c r="L24" s="222"/>
      <c r="M24" s="215" t="str">
        <f>IF(G5="","",VLOOKUP(G5,'KM e Tempo Percurso'!A7:O201,10,0))</f>
        <v/>
      </c>
      <c r="N24" s="157"/>
      <c r="O24" s="157"/>
      <c r="P24" s="157"/>
      <c r="Q24" s="157"/>
      <c r="R24" s="157" t="str">
        <f>IF(G5="","",VLOOKUP(G5,'KM e Tempo Percurso'!A7:O201,10,0))</f>
        <v/>
      </c>
      <c r="S24" s="157"/>
      <c r="T24" s="157"/>
      <c r="U24" s="157"/>
      <c r="V24" s="157"/>
      <c r="W24" s="157" t="str">
        <f>IF(G5="","",VLOOKUP(G5,'KM e Tempo Percurso'!A7:O201,10,0))</f>
        <v/>
      </c>
      <c r="X24" s="157"/>
      <c r="Y24" s="157"/>
      <c r="Z24" s="157"/>
      <c r="AA24" s="157"/>
      <c r="AB24" s="157" t="str">
        <f>IF(G5="","",VLOOKUP(G5,'KM e Tempo Percurso'!A7:O201,10,0))</f>
        <v/>
      </c>
      <c r="AC24" s="157"/>
      <c r="AD24" s="157"/>
      <c r="AE24" s="157"/>
      <c r="AF24" s="157"/>
      <c r="AG24" s="157" t="str">
        <f>IF(G5="","",VLOOKUP(G5,'KM e Tempo Percurso'!A7:O201,10,0))</f>
        <v/>
      </c>
      <c r="AH24" s="157"/>
      <c r="AI24" s="157"/>
      <c r="AJ24" s="157"/>
      <c r="AK24" s="157"/>
      <c r="AL24" s="157" t="str">
        <f>IF(G5="","",VLOOKUP(G5,'KM e Tempo Percurso'!A7:O201,10,0))</f>
        <v/>
      </c>
      <c r="AM24" s="157"/>
      <c r="AN24" s="157"/>
      <c r="AO24" s="157"/>
      <c r="AP24" s="157"/>
      <c r="AQ24" s="157" t="str">
        <f>IF(G5="","",VLOOKUP(G5,'KM e Tempo Percurso'!A7:O201,10,0))</f>
        <v/>
      </c>
      <c r="AR24" s="157"/>
      <c r="AS24" s="157"/>
      <c r="AT24" s="157"/>
      <c r="AU24" s="157"/>
      <c r="AV24" s="157" t="str">
        <f>IF(G5="","",VLOOKUP(G5,'KM e Tempo Percurso'!A7:O201,10,0))</f>
        <v/>
      </c>
      <c r="AW24" s="157"/>
      <c r="AX24" s="157"/>
      <c r="AY24" s="157"/>
      <c r="AZ24" s="158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223" t="s">
        <v>46</v>
      </c>
      <c r="B25" s="224"/>
      <c r="C25" s="224"/>
      <c r="D25" s="224"/>
      <c r="E25" s="224"/>
      <c r="F25" s="224"/>
      <c r="G25" s="224"/>
      <c r="H25" s="224"/>
      <c r="I25" s="224"/>
      <c r="J25" s="224"/>
      <c r="K25" s="224"/>
      <c r="L25" s="225"/>
      <c r="M25" s="216" t="str">
        <f>IF(G5="","",VLOOKUP(G5,'KM e Tempo Percurso'!A7:O201,11,0))</f>
        <v/>
      </c>
      <c r="N25" s="156"/>
      <c r="O25" s="156"/>
      <c r="P25" s="156"/>
      <c r="Q25" s="156"/>
      <c r="R25" s="156" t="str">
        <f>IF(G5="","",VLOOKUP(G5,'KM e Tempo Percurso'!A7:O201,11,0))</f>
        <v/>
      </c>
      <c r="S25" s="156"/>
      <c r="T25" s="156"/>
      <c r="U25" s="156"/>
      <c r="V25" s="156"/>
      <c r="W25" s="156" t="str">
        <f>IF(G5="","",VLOOKUP(G5,'KM e Tempo Percurso'!A7:O201,11,0))</f>
        <v/>
      </c>
      <c r="X25" s="156"/>
      <c r="Y25" s="156"/>
      <c r="Z25" s="156"/>
      <c r="AA25" s="156"/>
      <c r="AB25" s="156" t="str">
        <f>IF(G5="","",VLOOKUP(G5,'KM e Tempo Percurso'!A7:O201,11,0))</f>
        <v/>
      </c>
      <c r="AC25" s="156"/>
      <c r="AD25" s="156"/>
      <c r="AE25" s="156"/>
      <c r="AF25" s="156"/>
      <c r="AG25" s="156" t="str">
        <f>IF(G5="","",VLOOKUP(G5,'KM e Tempo Percurso'!A7:O201,11,0))</f>
        <v/>
      </c>
      <c r="AH25" s="156"/>
      <c r="AI25" s="156"/>
      <c r="AJ25" s="156"/>
      <c r="AK25" s="156"/>
      <c r="AL25" s="156" t="str">
        <f>IF(G5="","",VLOOKUP(G5,'KM e Tempo Percurso'!A7:O201,11,0))</f>
        <v/>
      </c>
      <c r="AM25" s="156"/>
      <c r="AN25" s="156"/>
      <c r="AO25" s="156"/>
      <c r="AP25" s="156"/>
      <c r="AQ25" s="156" t="str">
        <f>IF(G5="","",VLOOKUP(G5,'KM e Tempo Percurso'!A7:O201,11,0))</f>
        <v/>
      </c>
      <c r="AR25" s="156"/>
      <c r="AS25" s="156"/>
      <c r="AT25" s="156"/>
      <c r="AU25" s="156"/>
      <c r="AV25" s="156" t="str">
        <f>IF(G5="","",VLOOKUP(G5,'KM e Tempo Percurso'!A7:O201,11,0))</f>
        <v/>
      </c>
      <c r="AW25" s="156"/>
      <c r="AX25" s="156"/>
      <c r="AY25" s="156"/>
      <c r="AZ25" s="159"/>
      <c r="BC25" s="29"/>
      <c r="BD25" s="87"/>
      <c r="BE25" s="87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145"/>
      <c r="B26" s="145"/>
      <c r="C26" s="145"/>
      <c r="D26" s="145"/>
      <c r="E26" s="145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</row>
    <row r="27" spans="1:62" s="2" customFormat="1" ht="18.75" customHeight="1" thickBot="1" x14ac:dyDescent="0.25">
      <c r="A27" s="188" t="s">
        <v>47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89"/>
      <c r="AU27" s="189"/>
      <c r="AV27" s="189"/>
      <c r="AW27" s="189"/>
      <c r="AX27" s="189"/>
      <c r="AY27" s="189"/>
      <c r="AZ27" s="190"/>
    </row>
    <row r="28" spans="1:62" s="2" customFormat="1" ht="18.75" customHeight="1" thickBot="1" x14ac:dyDescent="0.25">
      <c r="A28" s="232" t="s">
        <v>48</v>
      </c>
      <c r="B28" s="233"/>
      <c r="C28" s="233"/>
      <c r="D28" s="233"/>
      <c r="E28" s="233"/>
      <c r="F28" s="233"/>
      <c r="G28" s="233"/>
      <c r="H28" s="233"/>
      <c r="I28" s="233"/>
      <c r="J28" s="233"/>
      <c r="K28" s="233"/>
      <c r="L28" s="233"/>
      <c r="M28" s="233"/>
      <c r="N28" s="233"/>
      <c r="O28" s="233"/>
      <c r="P28" s="233"/>
      <c r="Q28" s="233"/>
      <c r="R28" s="233"/>
      <c r="S28" s="233"/>
      <c r="T28" s="234" t="s">
        <v>49</v>
      </c>
      <c r="U28" s="234"/>
      <c r="V28" s="234"/>
      <c r="W28" s="234"/>
      <c r="X28" s="234"/>
      <c r="Y28" s="234"/>
      <c r="Z28" s="234"/>
      <c r="AA28" s="233" t="s">
        <v>48</v>
      </c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 t="s">
        <v>49</v>
      </c>
      <c r="AU28" s="234"/>
      <c r="AV28" s="234"/>
      <c r="AW28" s="234"/>
      <c r="AX28" s="234"/>
      <c r="AY28" s="234"/>
      <c r="AZ28" s="235"/>
    </row>
    <row r="29" spans="1:62" s="2" customFormat="1" ht="18.75" customHeight="1" x14ac:dyDescent="0.25">
      <c r="A29" s="236" t="s">
        <v>50</v>
      </c>
      <c r="B29" s="237"/>
      <c r="C29" s="237"/>
      <c r="D29" s="237"/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8"/>
      <c r="U29" s="238"/>
      <c r="V29" s="238"/>
      <c r="W29" s="238"/>
      <c r="X29" s="238"/>
      <c r="Y29" s="238"/>
      <c r="Z29" s="238"/>
      <c r="AA29" s="237" t="s">
        <v>51</v>
      </c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07"/>
      <c r="AU29" s="207"/>
      <c r="AV29" s="207"/>
      <c r="AW29" s="207"/>
      <c r="AX29" s="207"/>
      <c r="AY29" s="207"/>
      <c r="AZ29" s="207"/>
    </row>
    <row r="30" spans="1:62" s="2" customFormat="1" ht="18.75" customHeight="1" x14ac:dyDescent="0.2">
      <c r="A30" s="236" t="s">
        <v>52</v>
      </c>
      <c r="B30" s="237"/>
      <c r="C30" s="237"/>
      <c r="D30" s="237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8"/>
      <c r="U30" s="238"/>
      <c r="V30" s="238"/>
      <c r="W30" s="238"/>
      <c r="X30" s="238"/>
      <c r="Y30" s="238"/>
      <c r="Z30" s="238"/>
      <c r="AA30" s="237" t="s">
        <v>53</v>
      </c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8"/>
      <c r="AU30" s="238"/>
      <c r="AV30" s="238"/>
      <c r="AW30" s="238"/>
      <c r="AX30" s="238"/>
      <c r="AY30" s="238"/>
      <c r="AZ30" s="239"/>
    </row>
    <row r="31" spans="1:62" s="2" customFormat="1" ht="18.75" customHeight="1" thickBot="1" x14ac:dyDescent="0.25">
      <c r="A31" s="223" t="s">
        <v>54</v>
      </c>
      <c r="B31" s="224"/>
      <c r="C31" s="224"/>
      <c r="D31" s="224"/>
      <c r="E31" s="224"/>
      <c r="F31" s="224"/>
      <c r="G31" s="224"/>
      <c r="H31" s="224"/>
      <c r="I31" s="224"/>
      <c r="J31" s="224"/>
      <c r="K31" s="224"/>
      <c r="L31" s="224"/>
      <c r="M31" s="224"/>
      <c r="N31" s="224"/>
      <c r="O31" s="224"/>
      <c r="P31" s="224"/>
      <c r="Q31" s="224"/>
      <c r="R31" s="224"/>
      <c r="S31" s="224"/>
      <c r="T31" s="240"/>
      <c r="U31" s="240"/>
      <c r="V31" s="240"/>
      <c r="W31" s="240"/>
      <c r="X31" s="240"/>
      <c r="Y31" s="240"/>
      <c r="Z31" s="240"/>
      <c r="AA31" s="224" t="s">
        <v>54</v>
      </c>
      <c r="AB31" s="224"/>
      <c r="AC31" s="224"/>
      <c r="AD31" s="224"/>
      <c r="AE31" s="224"/>
      <c r="AF31" s="224"/>
      <c r="AG31" s="224"/>
      <c r="AH31" s="224"/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40"/>
      <c r="AU31" s="240"/>
      <c r="AV31" s="240"/>
      <c r="AW31" s="240"/>
      <c r="AX31" s="240"/>
      <c r="AY31" s="240"/>
      <c r="AZ31" s="241"/>
    </row>
    <row r="32" spans="1:62" s="2" customFormat="1" ht="11.25" customHeight="1" thickBot="1" x14ac:dyDescent="0.25">
      <c r="A32" s="231"/>
      <c r="B32" s="231"/>
      <c r="C32" s="231"/>
      <c r="D32" s="231"/>
      <c r="E32" s="231"/>
      <c r="F32" s="231"/>
      <c r="G32" s="231"/>
      <c r="H32" s="231"/>
      <c r="I32" s="231"/>
      <c r="J32" s="231"/>
      <c r="K32" s="231"/>
      <c r="L32" s="231"/>
      <c r="M32" s="231"/>
      <c r="N32" s="231"/>
      <c r="O32" s="231"/>
      <c r="P32" s="231"/>
      <c r="Q32" s="231"/>
      <c r="R32" s="231"/>
      <c r="S32" s="231"/>
      <c r="T32" s="231"/>
      <c r="U32" s="231"/>
      <c r="V32" s="231"/>
      <c r="W32" s="231"/>
      <c r="X32" s="231"/>
      <c r="Y32" s="231"/>
      <c r="Z32" s="231"/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  <c r="AK32" s="231"/>
      <c r="AL32" s="231"/>
      <c r="AM32" s="231"/>
      <c r="AN32" s="231"/>
      <c r="AO32" s="231"/>
      <c r="AP32" s="231"/>
      <c r="AQ32" s="231"/>
      <c r="AR32" s="231"/>
      <c r="AS32" s="231"/>
      <c r="AT32" s="231"/>
      <c r="AU32" s="231"/>
      <c r="AV32" s="231"/>
      <c r="AW32" s="231"/>
      <c r="AX32" s="231"/>
      <c r="AY32" s="231"/>
      <c r="AZ32" s="231"/>
    </row>
    <row r="33" spans="1:52" s="2" customFormat="1" ht="15" customHeight="1" x14ac:dyDescent="0.2">
      <c r="A33" s="130" t="s">
        <v>55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2"/>
      <c r="S33" s="95" t="s">
        <v>56</v>
      </c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122"/>
      <c r="AH33" s="95" t="s">
        <v>57</v>
      </c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7"/>
    </row>
    <row r="34" spans="1:52" s="2" customFormat="1" ht="15" customHeight="1" x14ac:dyDescent="0.2">
      <c r="A34" s="133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5"/>
      <c r="S34" s="98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123"/>
      <c r="AH34" s="98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100"/>
    </row>
    <row r="35" spans="1:52" s="2" customFormat="1" ht="15" customHeight="1" x14ac:dyDescent="0.2">
      <c r="A35" s="124" t="s">
        <v>58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6"/>
      <c r="S35" s="127" t="s">
        <v>59</v>
      </c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9"/>
      <c r="AH35" s="92" t="s">
        <v>60</v>
      </c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4"/>
    </row>
    <row r="36" spans="1:52" s="10" customFormat="1" ht="15" customHeight="1" x14ac:dyDescent="0.25">
      <c r="A36" s="124" t="s">
        <v>61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6"/>
      <c r="S36" s="127" t="s">
        <v>62</v>
      </c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9"/>
      <c r="AH36" s="92" t="s">
        <v>63</v>
      </c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4"/>
    </row>
    <row r="37" spans="1:52" s="10" customFormat="1" ht="15" customHeight="1" x14ac:dyDescent="0.25">
      <c r="A37" s="124" t="s">
        <v>64</v>
      </c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6"/>
      <c r="S37" s="127" t="s">
        <v>65</v>
      </c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9"/>
      <c r="AH37" s="92" t="s">
        <v>66</v>
      </c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4"/>
    </row>
    <row r="38" spans="1:52" s="2" customFormat="1" ht="15" customHeight="1" x14ac:dyDescent="0.2">
      <c r="A38" s="124" t="s">
        <v>67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6"/>
      <c r="S38" s="127" t="s">
        <v>68</v>
      </c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9"/>
      <c r="AH38" s="92" t="s">
        <v>69</v>
      </c>
      <c r="AI38" s="93"/>
      <c r="AJ38" s="93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4"/>
    </row>
    <row r="39" spans="1:52" s="2" customFormat="1" ht="15" customHeight="1" x14ac:dyDescent="0.2">
      <c r="A39" s="124" t="s">
        <v>70</v>
      </c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6"/>
      <c r="S39" s="127" t="s">
        <v>71</v>
      </c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9"/>
      <c r="AH39" s="147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9"/>
    </row>
    <row r="40" spans="1:52" s="2" customFormat="1" ht="15" customHeight="1" x14ac:dyDescent="0.2">
      <c r="A40" s="124" t="s">
        <v>72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6"/>
      <c r="S40" s="127" t="s">
        <v>73</v>
      </c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9"/>
      <c r="AH40" s="147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9"/>
    </row>
    <row r="41" spans="1:52" s="2" customFormat="1" ht="15" customHeight="1" x14ac:dyDescent="0.2">
      <c r="A41" s="124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6"/>
      <c r="S41" s="127" t="s">
        <v>74</v>
      </c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9"/>
      <c r="AH41" s="147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9"/>
    </row>
    <row r="42" spans="1:52" s="2" customFormat="1" ht="15" customHeight="1" thickBot="1" x14ac:dyDescent="0.25">
      <c r="A42" s="150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2"/>
      <c r="S42" s="136" t="s">
        <v>75</v>
      </c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8"/>
      <c r="AH42" s="153"/>
      <c r="AI42" s="154"/>
      <c r="AJ42" s="154"/>
      <c r="AK42" s="154"/>
      <c r="AL42" s="154"/>
      <c r="AM42" s="154"/>
      <c r="AN42" s="154"/>
      <c r="AO42" s="154"/>
      <c r="AP42" s="154"/>
      <c r="AQ42" s="154"/>
      <c r="AR42" s="154"/>
      <c r="AS42" s="154"/>
      <c r="AT42" s="154"/>
      <c r="AU42" s="154"/>
      <c r="AV42" s="154"/>
      <c r="AW42" s="154"/>
      <c r="AX42" s="154"/>
      <c r="AY42" s="154"/>
      <c r="AZ42" s="155"/>
    </row>
    <row r="43" spans="1:52" s="2" customFormat="1" ht="11.25" customHeight="1" thickBot="1" x14ac:dyDescent="0.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45"/>
      <c r="AZ43" s="145"/>
    </row>
    <row r="44" spans="1:52" s="2" customFormat="1" ht="18" customHeight="1" x14ac:dyDescent="0.2">
      <c r="A44" s="139" t="s">
        <v>76</v>
      </c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1"/>
    </row>
    <row r="45" spans="1:52" s="2" customFormat="1" ht="18" customHeight="1" thickBot="1" x14ac:dyDescent="0.25">
      <c r="A45" s="142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3"/>
      <c r="AY45" s="143"/>
      <c r="AZ45" s="144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"/>
      <c r="R47" s="1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"/>
      <c r="AJ47" s="1"/>
      <c r="AK47" s="146"/>
      <c r="AL47" s="146"/>
      <c r="AM47" s="146"/>
      <c r="AN47" s="146"/>
      <c r="AO47" s="146"/>
      <c r="AP47" s="146"/>
      <c r="AQ47" s="146"/>
      <c r="AR47" s="146"/>
      <c r="AS47" s="146"/>
      <c r="AT47" s="146"/>
      <c r="AU47" s="146"/>
      <c r="AV47" s="146"/>
      <c r="AW47" s="146"/>
      <c r="AX47" s="146"/>
      <c r="AY47" s="146"/>
      <c r="AZ47" s="146"/>
    </row>
    <row r="48" spans="1:52" ht="18.75" customHeight="1" x14ac:dyDescent="0.25">
      <c r="A48" s="210" t="s">
        <v>77</v>
      </c>
      <c r="B48" s="210"/>
      <c r="C48" s="210"/>
      <c r="D48" s="210"/>
      <c r="E48" s="210"/>
      <c r="F48" s="210"/>
      <c r="G48" s="210"/>
      <c r="H48" s="210"/>
      <c r="I48" s="210"/>
      <c r="J48" s="210"/>
      <c r="K48" s="210"/>
      <c r="L48" s="210"/>
      <c r="M48" s="210"/>
      <c r="N48" s="210"/>
      <c r="O48" s="210"/>
      <c r="P48" s="210"/>
      <c r="Q48" s="54"/>
      <c r="R48" s="54"/>
      <c r="S48" s="121" t="s">
        <v>78</v>
      </c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54"/>
      <c r="AJ48" s="54"/>
      <c r="AK48" s="210" t="s">
        <v>79</v>
      </c>
      <c r="AL48" s="210"/>
      <c r="AM48" s="210"/>
      <c r="AN48" s="210"/>
      <c r="AO48" s="210"/>
      <c r="AP48" s="210"/>
      <c r="AQ48" s="210"/>
      <c r="AR48" s="210"/>
      <c r="AS48" s="210"/>
      <c r="AT48" s="210"/>
      <c r="AU48" s="210"/>
      <c r="AV48" s="210"/>
      <c r="AW48" s="210"/>
      <c r="AX48" s="210"/>
      <c r="AY48" s="210"/>
      <c r="AZ48" s="210"/>
    </row>
    <row r="49" spans="1:52" ht="18.75" customHeight="1" x14ac:dyDescent="0.25">
      <c r="A49" s="86" t="s">
        <v>80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S49" s="86" t="s">
        <v>81</v>
      </c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K49" s="211" t="s">
        <v>792</v>
      </c>
      <c r="AL49" s="211"/>
      <c r="AM49" s="211"/>
      <c r="AN49" s="211"/>
      <c r="AO49" s="211"/>
      <c r="AP49" s="211"/>
      <c r="AQ49" s="211"/>
      <c r="AR49" s="211"/>
      <c r="AS49" s="211"/>
      <c r="AT49" s="211"/>
      <c r="AU49" s="211"/>
      <c r="AV49" s="211"/>
      <c r="AW49" s="211"/>
      <c r="AX49" s="211"/>
      <c r="AY49" s="211"/>
      <c r="AZ49" s="211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tabSelected="1" view="pageBreakPreview" topLeftCell="A4" zoomScale="70" zoomScaleNormal="75" zoomScaleSheetLayoutView="70" workbookViewId="0">
      <selection activeCell="E10" sqref="E10:AZ10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67"/>
      <c r="B1" s="168"/>
      <c r="C1" s="168"/>
      <c r="D1" s="168"/>
      <c r="E1" s="168"/>
      <c r="F1" s="168"/>
      <c r="G1" s="168"/>
      <c r="H1" s="16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6" t="s">
        <v>0</v>
      </c>
      <c r="AT1" s="177"/>
      <c r="AU1" s="177"/>
      <c r="AV1" s="177"/>
      <c r="AW1" s="177"/>
      <c r="AX1" s="177"/>
      <c r="AY1" s="177"/>
      <c r="AZ1" s="178"/>
      <c r="BD1" s="23"/>
      <c r="BF1" s="27"/>
      <c r="BG1" s="27"/>
    </row>
    <row r="2" spans="1:60" ht="22.5" customHeight="1" x14ac:dyDescent="0.25">
      <c r="A2" s="170"/>
      <c r="B2" s="171"/>
      <c r="C2" s="171"/>
      <c r="D2" s="171"/>
      <c r="E2" s="171"/>
      <c r="F2" s="171"/>
      <c r="G2" s="171"/>
      <c r="H2" s="172"/>
      <c r="K2" s="186" t="s">
        <v>1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49"/>
      <c r="AC2" s="249"/>
      <c r="AD2" s="249"/>
      <c r="AE2" s="249"/>
      <c r="AF2" s="249"/>
      <c r="AG2" s="249"/>
      <c r="AH2" s="249"/>
      <c r="AI2" s="249"/>
      <c r="AJ2" s="249"/>
      <c r="AK2" s="249"/>
      <c r="AL2" s="249"/>
      <c r="AM2" s="249"/>
      <c r="AN2" s="249"/>
      <c r="AO2" s="249"/>
      <c r="AP2" s="249"/>
      <c r="AQ2" s="17"/>
      <c r="AR2" s="17"/>
      <c r="AS2" s="179"/>
      <c r="AT2" s="180"/>
      <c r="AU2" s="180"/>
      <c r="AV2" s="180"/>
      <c r="AW2" s="180"/>
      <c r="AX2" s="180"/>
      <c r="AY2" s="180"/>
      <c r="AZ2" s="181"/>
      <c r="BA2" s="7"/>
      <c r="BF2" s="25"/>
      <c r="BG2" s="25"/>
      <c r="BH2" s="25"/>
    </row>
    <row r="3" spans="1:60" ht="22.5" customHeight="1" thickBot="1" x14ac:dyDescent="0.3">
      <c r="A3" s="173"/>
      <c r="B3" s="174"/>
      <c r="C3" s="174"/>
      <c r="D3" s="174"/>
      <c r="E3" s="174"/>
      <c r="F3" s="174"/>
      <c r="G3" s="174"/>
      <c r="H3" s="1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2"/>
      <c r="AT3" s="183"/>
      <c r="AU3" s="183"/>
      <c r="AV3" s="183"/>
      <c r="AW3" s="183"/>
      <c r="AX3" s="183"/>
      <c r="AY3" s="183"/>
      <c r="AZ3" s="184"/>
    </row>
    <row r="4" spans="1:60" ht="18.75" customHeight="1" thickBot="1" x14ac:dyDescent="0.35">
      <c r="A4" s="188" t="s">
        <v>2</v>
      </c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89"/>
      <c r="AP4" s="189"/>
      <c r="AQ4" s="189"/>
      <c r="AR4" s="189"/>
      <c r="AS4" s="189"/>
      <c r="AT4" s="189"/>
      <c r="AU4" s="189"/>
      <c r="AV4" s="189"/>
      <c r="AW4" s="189"/>
      <c r="AX4" s="189"/>
      <c r="AY4" s="189"/>
      <c r="AZ4" s="190"/>
      <c r="BA4" s="9"/>
      <c r="BB4" s="9"/>
      <c r="BC4" s="9"/>
    </row>
    <row r="5" spans="1:60" ht="18.75" customHeight="1" x14ac:dyDescent="0.3">
      <c r="A5" s="250" t="s">
        <v>104</v>
      </c>
      <c r="B5" s="251"/>
      <c r="C5" s="251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47"/>
      <c r="B6" s="248"/>
      <c r="C6" s="248"/>
      <c r="D6" s="10"/>
      <c r="E6" s="252"/>
      <c r="F6" s="252"/>
      <c r="G6" s="252"/>
      <c r="H6" s="252"/>
      <c r="I6" s="252"/>
      <c r="J6" s="252"/>
      <c r="K6" s="252"/>
      <c r="L6" s="252"/>
      <c r="M6" s="252"/>
      <c r="N6" s="252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AP6" s="252"/>
      <c r="AQ6" s="252"/>
      <c r="AR6" s="252"/>
      <c r="AS6" s="252"/>
      <c r="AT6" s="252"/>
      <c r="AU6" s="252"/>
      <c r="AV6" s="252"/>
      <c r="AW6" s="252"/>
      <c r="AX6" s="252"/>
      <c r="AY6" s="252"/>
      <c r="AZ6" s="253"/>
    </row>
    <row r="7" spans="1:60" s="5" customFormat="1" ht="18.75" customHeight="1" x14ac:dyDescent="0.25">
      <c r="A7" s="247"/>
      <c r="B7" s="248"/>
      <c r="C7" s="248"/>
      <c r="D7" s="10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3"/>
    </row>
    <row r="8" spans="1:60" s="5" customFormat="1" ht="18.75" customHeight="1" x14ac:dyDescent="0.25">
      <c r="A8" s="254"/>
      <c r="B8" s="255"/>
      <c r="C8" s="255"/>
      <c r="D8" s="10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3"/>
    </row>
    <row r="9" spans="1:60" s="5" customFormat="1" ht="18.75" customHeight="1" x14ac:dyDescent="0.25">
      <c r="A9" s="254"/>
      <c r="B9" s="255"/>
      <c r="C9" s="255"/>
      <c r="D9" s="10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3"/>
    </row>
    <row r="10" spans="1:60" s="5" customFormat="1" ht="18.75" customHeight="1" x14ac:dyDescent="0.25">
      <c r="A10" s="254"/>
      <c r="B10" s="255"/>
      <c r="C10" s="255"/>
      <c r="D10" s="10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2"/>
      <c r="AN10" s="242"/>
      <c r="AO10" s="242"/>
      <c r="AP10" s="242"/>
      <c r="AQ10" s="242"/>
      <c r="AR10" s="242"/>
      <c r="AS10" s="242"/>
      <c r="AT10" s="242"/>
      <c r="AU10" s="242"/>
      <c r="AV10" s="242"/>
      <c r="AW10" s="242"/>
      <c r="AX10" s="242"/>
      <c r="AY10" s="242"/>
      <c r="AZ10" s="243"/>
    </row>
    <row r="11" spans="1:60" s="5" customFormat="1" ht="18.75" customHeight="1" x14ac:dyDescent="0.25">
      <c r="A11" s="247"/>
      <c r="B11" s="248"/>
      <c r="C11" s="248"/>
      <c r="D11" s="10"/>
      <c r="E11" s="242"/>
      <c r="F11" s="242"/>
      <c r="G11" s="242"/>
      <c r="H11" s="242"/>
      <c r="I11" s="242"/>
      <c r="J11" s="242"/>
      <c r="K11" s="242"/>
      <c r="L11" s="242"/>
      <c r="M11" s="242"/>
      <c r="N11" s="242"/>
      <c r="O11" s="242"/>
      <c r="P11" s="242"/>
      <c r="Q11" s="242"/>
      <c r="R11" s="242"/>
      <c r="S11" s="242"/>
      <c r="T11" s="242"/>
      <c r="U11" s="242"/>
      <c r="V11" s="242"/>
      <c r="W11" s="242"/>
      <c r="X11" s="242"/>
      <c r="Y11" s="242"/>
      <c r="Z11" s="242"/>
      <c r="AA11" s="242"/>
      <c r="AB11" s="242"/>
      <c r="AC11" s="242"/>
      <c r="AD11" s="242"/>
      <c r="AE11" s="242"/>
      <c r="AF11" s="242"/>
      <c r="AG11" s="242"/>
      <c r="AH11" s="242"/>
      <c r="AI11" s="242"/>
      <c r="AJ11" s="242"/>
      <c r="AK11" s="242"/>
      <c r="AL11" s="242"/>
      <c r="AM11" s="242"/>
      <c r="AN11" s="242"/>
      <c r="AO11" s="242"/>
      <c r="AP11" s="242"/>
      <c r="AQ11" s="242"/>
      <c r="AR11" s="242"/>
      <c r="AS11" s="242"/>
      <c r="AT11" s="242"/>
      <c r="AU11" s="242"/>
      <c r="AV11" s="242"/>
      <c r="AW11" s="242"/>
      <c r="AX11" s="242"/>
      <c r="AY11" s="242"/>
      <c r="AZ11" s="243"/>
    </row>
    <row r="12" spans="1:60" s="5" customFormat="1" ht="18.75" customHeight="1" x14ac:dyDescent="0.25">
      <c r="A12" s="247"/>
      <c r="B12" s="248"/>
      <c r="C12" s="248"/>
      <c r="D12" s="10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242"/>
      <c r="T12" s="242"/>
      <c r="U12" s="242"/>
      <c r="V12" s="242"/>
      <c r="W12" s="242"/>
      <c r="X12" s="242"/>
      <c r="Y12" s="242"/>
      <c r="Z12" s="242"/>
      <c r="AA12" s="242"/>
      <c r="AB12" s="242"/>
      <c r="AC12" s="242"/>
      <c r="AD12" s="242"/>
      <c r="AE12" s="242"/>
      <c r="AF12" s="242"/>
      <c r="AG12" s="242"/>
      <c r="AH12" s="242"/>
      <c r="AI12" s="242"/>
      <c r="AJ12" s="242"/>
      <c r="AK12" s="242"/>
      <c r="AL12" s="242"/>
      <c r="AM12" s="242"/>
      <c r="AN12" s="242"/>
      <c r="AO12" s="242"/>
      <c r="AP12" s="242"/>
      <c r="AQ12" s="242"/>
      <c r="AR12" s="242"/>
      <c r="AS12" s="242"/>
      <c r="AT12" s="242"/>
      <c r="AU12" s="242"/>
      <c r="AV12" s="242"/>
      <c r="AW12" s="242"/>
      <c r="AX12" s="242"/>
      <c r="AY12" s="242"/>
      <c r="AZ12" s="243"/>
    </row>
    <row r="13" spans="1:60" s="5" customFormat="1" ht="18.75" customHeight="1" x14ac:dyDescent="0.25">
      <c r="A13" s="247"/>
      <c r="B13" s="248"/>
      <c r="C13" s="248"/>
      <c r="D13" s="10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242"/>
      <c r="R13" s="242"/>
      <c r="S13" s="242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2"/>
      <c r="AF13" s="242"/>
      <c r="AG13" s="242"/>
      <c r="AH13" s="242"/>
      <c r="AI13" s="242"/>
      <c r="AJ13" s="242"/>
      <c r="AK13" s="242"/>
      <c r="AL13" s="242"/>
      <c r="AM13" s="242"/>
      <c r="AN13" s="242"/>
      <c r="AO13" s="242"/>
      <c r="AP13" s="242"/>
      <c r="AQ13" s="242"/>
      <c r="AR13" s="242"/>
      <c r="AS13" s="242"/>
      <c r="AT13" s="242"/>
      <c r="AU13" s="242"/>
      <c r="AV13" s="242"/>
      <c r="AW13" s="242"/>
      <c r="AX13" s="242"/>
      <c r="AY13" s="242"/>
      <c r="AZ13" s="243"/>
    </row>
    <row r="14" spans="1:60" s="5" customFormat="1" ht="18.75" customHeight="1" x14ac:dyDescent="0.25">
      <c r="A14" s="247"/>
      <c r="B14" s="248"/>
      <c r="C14" s="248"/>
      <c r="D14" s="10"/>
      <c r="E14" s="242"/>
      <c r="F14" s="242"/>
      <c r="G14" s="242"/>
      <c r="H14" s="242"/>
      <c r="I14" s="242"/>
      <c r="J14" s="242"/>
      <c r="K14" s="242"/>
      <c r="L14" s="242"/>
      <c r="M14" s="242"/>
      <c r="N14" s="242"/>
      <c r="O14" s="242"/>
      <c r="P14" s="242"/>
      <c r="Q14" s="242"/>
      <c r="R14" s="242"/>
      <c r="S14" s="242"/>
      <c r="T14" s="242"/>
      <c r="U14" s="242"/>
      <c r="V14" s="242"/>
      <c r="W14" s="242"/>
      <c r="X14" s="242"/>
      <c r="Y14" s="242"/>
      <c r="Z14" s="242"/>
      <c r="AA14" s="242"/>
      <c r="AB14" s="242"/>
      <c r="AC14" s="242"/>
      <c r="AD14" s="242"/>
      <c r="AE14" s="242"/>
      <c r="AF14" s="242"/>
      <c r="AG14" s="242"/>
      <c r="AH14" s="242"/>
      <c r="AI14" s="242"/>
      <c r="AJ14" s="242"/>
      <c r="AK14" s="242"/>
      <c r="AL14" s="242"/>
      <c r="AM14" s="242"/>
      <c r="AN14" s="242"/>
      <c r="AO14" s="242"/>
      <c r="AP14" s="242"/>
      <c r="AQ14" s="242"/>
      <c r="AR14" s="242"/>
      <c r="AS14" s="242"/>
      <c r="AT14" s="242"/>
      <c r="AU14" s="242"/>
      <c r="AV14" s="242"/>
      <c r="AW14" s="242"/>
      <c r="AX14" s="242"/>
      <c r="AY14" s="242"/>
      <c r="AZ14" s="243"/>
    </row>
    <row r="15" spans="1:60" s="5" customFormat="1" ht="18.75" customHeight="1" x14ac:dyDescent="0.25">
      <c r="A15" s="247"/>
      <c r="B15" s="248"/>
      <c r="C15" s="248"/>
      <c r="D15" s="10"/>
      <c r="E15" s="242"/>
      <c r="F15" s="242"/>
      <c r="G15" s="242"/>
      <c r="H15" s="242"/>
      <c r="I15" s="242"/>
      <c r="J15" s="242"/>
      <c r="K15" s="242"/>
      <c r="L15" s="242"/>
      <c r="M15" s="242"/>
      <c r="N15" s="242"/>
      <c r="O15" s="242"/>
      <c r="P15" s="242"/>
      <c r="Q15" s="242"/>
      <c r="R15" s="242"/>
      <c r="S15" s="242"/>
      <c r="T15" s="242"/>
      <c r="U15" s="242"/>
      <c r="V15" s="242"/>
      <c r="W15" s="242"/>
      <c r="X15" s="242"/>
      <c r="Y15" s="242"/>
      <c r="Z15" s="242"/>
      <c r="AA15" s="242"/>
      <c r="AB15" s="242"/>
      <c r="AC15" s="242"/>
      <c r="AD15" s="242"/>
      <c r="AE15" s="242"/>
      <c r="AF15" s="242"/>
      <c r="AG15" s="242"/>
      <c r="AH15" s="242"/>
      <c r="AI15" s="242"/>
      <c r="AJ15" s="242"/>
      <c r="AK15" s="242"/>
      <c r="AL15" s="242"/>
      <c r="AM15" s="242"/>
      <c r="AN15" s="242"/>
      <c r="AO15" s="242"/>
      <c r="AP15" s="242"/>
      <c r="AQ15" s="242"/>
      <c r="AR15" s="242"/>
      <c r="AS15" s="242"/>
      <c r="AT15" s="242"/>
      <c r="AU15" s="242"/>
      <c r="AV15" s="242"/>
      <c r="AW15" s="242"/>
      <c r="AX15" s="242"/>
      <c r="AY15" s="242"/>
      <c r="AZ15" s="243"/>
    </row>
    <row r="16" spans="1:60" s="5" customFormat="1" ht="18.75" customHeight="1" x14ac:dyDescent="0.25">
      <c r="A16" s="247"/>
      <c r="B16" s="248"/>
      <c r="C16" s="248"/>
      <c r="D16" s="10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  <c r="AA16" s="242"/>
      <c r="AB16" s="242"/>
      <c r="AC16" s="242"/>
      <c r="AD16" s="242"/>
      <c r="AE16" s="242"/>
      <c r="AF16" s="242"/>
      <c r="AG16" s="242"/>
      <c r="AH16" s="242"/>
      <c r="AI16" s="242"/>
      <c r="AJ16" s="242"/>
      <c r="AK16" s="242"/>
      <c r="AL16" s="242"/>
      <c r="AM16" s="242"/>
      <c r="AN16" s="242"/>
      <c r="AO16" s="242"/>
      <c r="AP16" s="242"/>
      <c r="AQ16" s="242"/>
      <c r="AR16" s="242"/>
      <c r="AS16" s="242"/>
      <c r="AT16" s="242"/>
      <c r="AU16" s="242"/>
      <c r="AV16" s="242"/>
      <c r="AW16" s="242"/>
      <c r="AX16" s="242"/>
      <c r="AY16" s="242"/>
      <c r="AZ16" s="243"/>
    </row>
    <row r="17" spans="1:52" s="5" customFormat="1" ht="18.75" customHeight="1" x14ac:dyDescent="0.25">
      <c r="A17" s="247"/>
      <c r="B17" s="248"/>
      <c r="C17" s="248"/>
      <c r="D17" s="10"/>
      <c r="E17" s="242"/>
      <c r="F17" s="242"/>
      <c r="G17" s="242"/>
      <c r="H17" s="242"/>
      <c r="I17" s="242"/>
      <c r="J17" s="242"/>
      <c r="K17" s="242"/>
      <c r="L17" s="242"/>
      <c r="M17" s="242"/>
      <c r="N17" s="242"/>
      <c r="O17" s="242"/>
      <c r="P17" s="242"/>
      <c r="Q17" s="242"/>
      <c r="R17" s="242"/>
      <c r="S17" s="242"/>
      <c r="T17" s="242"/>
      <c r="U17" s="242"/>
      <c r="V17" s="242"/>
      <c r="W17" s="242"/>
      <c r="X17" s="242"/>
      <c r="Y17" s="242"/>
      <c r="Z17" s="242"/>
      <c r="AA17" s="242"/>
      <c r="AB17" s="242"/>
      <c r="AC17" s="242"/>
      <c r="AD17" s="242"/>
      <c r="AE17" s="242"/>
      <c r="AF17" s="242"/>
      <c r="AG17" s="242"/>
      <c r="AH17" s="242"/>
      <c r="AI17" s="242"/>
      <c r="AJ17" s="242"/>
      <c r="AK17" s="242"/>
      <c r="AL17" s="242"/>
      <c r="AM17" s="242"/>
      <c r="AN17" s="242"/>
      <c r="AO17" s="242"/>
      <c r="AP17" s="242"/>
      <c r="AQ17" s="242"/>
      <c r="AR17" s="242"/>
      <c r="AS17" s="242"/>
      <c r="AT17" s="242"/>
      <c r="AU17" s="242"/>
      <c r="AV17" s="242"/>
      <c r="AW17" s="242"/>
      <c r="AX17" s="242"/>
      <c r="AY17" s="242"/>
      <c r="AZ17" s="243"/>
    </row>
    <row r="18" spans="1:52" s="5" customFormat="1" ht="18.75" customHeight="1" x14ac:dyDescent="0.25">
      <c r="A18" s="247"/>
      <c r="B18" s="248"/>
      <c r="C18" s="248"/>
      <c r="D18" s="10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  <c r="X18" s="242"/>
      <c r="Y18" s="242"/>
      <c r="Z18" s="242"/>
      <c r="AA18" s="242"/>
      <c r="AB18" s="242"/>
      <c r="AC18" s="242"/>
      <c r="AD18" s="242"/>
      <c r="AE18" s="242"/>
      <c r="AF18" s="242"/>
      <c r="AG18" s="242"/>
      <c r="AH18" s="242"/>
      <c r="AI18" s="242"/>
      <c r="AJ18" s="242"/>
      <c r="AK18" s="242"/>
      <c r="AL18" s="242"/>
      <c r="AM18" s="242"/>
      <c r="AN18" s="242"/>
      <c r="AO18" s="242"/>
      <c r="AP18" s="242"/>
      <c r="AQ18" s="242"/>
      <c r="AR18" s="242"/>
      <c r="AS18" s="242"/>
      <c r="AT18" s="242"/>
      <c r="AU18" s="242"/>
      <c r="AV18" s="242"/>
      <c r="AW18" s="242"/>
      <c r="AX18" s="242"/>
      <c r="AY18" s="242"/>
      <c r="AZ18" s="243"/>
    </row>
    <row r="19" spans="1:52" s="5" customFormat="1" ht="18.75" customHeight="1" x14ac:dyDescent="0.25">
      <c r="A19" s="247"/>
      <c r="B19" s="248"/>
      <c r="C19" s="248"/>
      <c r="D19" s="10"/>
      <c r="E19" s="242"/>
      <c r="F19" s="242"/>
      <c r="G19" s="242"/>
      <c r="H19" s="242"/>
      <c r="I19" s="242"/>
      <c r="J19" s="242"/>
      <c r="K19" s="242"/>
      <c r="L19" s="242"/>
      <c r="M19" s="242"/>
      <c r="N19" s="242"/>
      <c r="O19" s="242"/>
      <c r="P19" s="242"/>
      <c r="Q19" s="242"/>
      <c r="R19" s="242"/>
      <c r="S19" s="242"/>
      <c r="T19" s="242"/>
      <c r="U19" s="242"/>
      <c r="V19" s="242"/>
      <c r="W19" s="242"/>
      <c r="X19" s="242"/>
      <c r="Y19" s="242"/>
      <c r="Z19" s="242"/>
      <c r="AA19" s="242"/>
      <c r="AB19" s="242"/>
      <c r="AC19" s="242"/>
      <c r="AD19" s="242"/>
      <c r="AE19" s="242"/>
      <c r="AF19" s="242"/>
      <c r="AG19" s="242"/>
      <c r="AH19" s="242"/>
      <c r="AI19" s="242"/>
      <c r="AJ19" s="242"/>
      <c r="AK19" s="242"/>
      <c r="AL19" s="242"/>
      <c r="AM19" s="242"/>
      <c r="AN19" s="242"/>
      <c r="AO19" s="242"/>
      <c r="AP19" s="242"/>
      <c r="AQ19" s="242"/>
      <c r="AR19" s="242"/>
      <c r="AS19" s="242"/>
      <c r="AT19" s="242"/>
      <c r="AU19" s="242"/>
      <c r="AV19" s="242"/>
      <c r="AW19" s="242"/>
      <c r="AX19" s="242"/>
      <c r="AY19" s="242"/>
      <c r="AZ19" s="243"/>
    </row>
    <row r="20" spans="1:52" s="5" customFormat="1" ht="18.75" customHeight="1" x14ac:dyDescent="0.25">
      <c r="A20" s="247"/>
      <c r="B20" s="248"/>
      <c r="C20" s="248"/>
      <c r="D20" s="10"/>
      <c r="E20" s="242"/>
      <c r="F20" s="242"/>
      <c r="G20" s="242"/>
      <c r="H20" s="242"/>
      <c r="I20" s="242"/>
      <c r="J20" s="242"/>
      <c r="K20" s="242"/>
      <c r="L20" s="242"/>
      <c r="M20" s="242"/>
      <c r="N20" s="242"/>
      <c r="O20" s="242"/>
      <c r="P20" s="242"/>
      <c r="Q20" s="242"/>
      <c r="R20" s="242"/>
      <c r="S20" s="242"/>
      <c r="T20" s="242"/>
      <c r="U20" s="242"/>
      <c r="V20" s="242"/>
      <c r="W20" s="242"/>
      <c r="X20" s="242"/>
      <c r="Y20" s="242"/>
      <c r="Z20" s="242"/>
      <c r="AA20" s="242"/>
      <c r="AB20" s="242"/>
      <c r="AC20" s="242"/>
      <c r="AD20" s="242"/>
      <c r="AE20" s="242"/>
      <c r="AF20" s="242"/>
      <c r="AG20" s="242"/>
      <c r="AH20" s="242"/>
      <c r="AI20" s="242"/>
      <c r="AJ20" s="242"/>
      <c r="AK20" s="242"/>
      <c r="AL20" s="242"/>
      <c r="AM20" s="242"/>
      <c r="AN20" s="242"/>
      <c r="AO20" s="242"/>
      <c r="AP20" s="242"/>
      <c r="AQ20" s="242"/>
      <c r="AR20" s="242"/>
      <c r="AS20" s="242"/>
      <c r="AT20" s="242"/>
      <c r="AU20" s="242"/>
      <c r="AV20" s="242"/>
      <c r="AW20" s="242"/>
      <c r="AX20" s="242"/>
      <c r="AY20" s="242"/>
      <c r="AZ20" s="243"/>
    </row>
    <row r="21" spans="1:52" s="5" customFormat="1" ht="18.75" customHeight="1" x14ac:dyDescent="0.25">
      <c r="A21" s="247"/>
      <c r="B21" s="248"/>
      <c r="C21" s="248"/>
      <c r="D21" s="10"/>
      <c r="E21" s="242"/>
      <c r="F21" s="242"/>
      <c r="G21" s="242"/>
      <c r="H21" s="242"/>
      <c r="I21" s="242"/>
      <c r="J21" s="242"/>
      <c r="K21" s="242"/>
      <c r="L21" s="242"/>
      <c r="M21" s="242"/>
      <c r="N21" s="242"/>
      <c r="O21" s="242"/>
      <c r="P21" s="242"/>
      <c r="Q21" s="242"/>
      <c r="R21" s="242"/>
      <c r="S21" s="242"/>
      <c r="T21" s="242"/>
      <c r="U21" s="242"/>
      <c r="V21" s="242"/>
      <c r="W21" s="242"/>
      <c r="X21" s="242"/>
      <c r="Y21" s="242"/>
      <c r="Z21" s="242"/>
      <c r="AA21" s="242"/>
      <c r="AB21" s="242"/>
      <c r="AC21" s="242"/>
      <c r="AD21" s="242"/>
      <c r="AE21" s="242"/>
      <c r="AF21" s="242"/>
      <c r="AG21" s="242"/>
      <c r="AH21" s="242"/>
      <c r="AI21" s="242"/>
      <c r="AJ21" s="242"/>
      <c r="AK21" s="242"/>
      <c r="AL21" s="242"/>
      <c r="AM21" s="242"/>
      <c r="AN21" s="242"/>
      <c r="AO21" s="242"/>
      <c r="AP21" s="242"/>
      <c r="AQ21" s="242"/>
      <c r="AR21" s="242"/>
      <c r="AS21" s="242"/>
      <c r="AT21" s="242"/>
      <c r="AU21" s="242"/>
      <c r="AV21" s="242"/>
      <c r="AW21" s="242"/>
      <c r="AX21" s="242"/>
      <c r="AY21" s="242"/>
      <c r="AZ21" s="243"/>
    </row>
    <row r="22" spans="1:52" s="5" customFormat="1" ht="18.75" customHeight="1" x14ac:dyDescent="0.25">
      <c r="A22" s="247"/>
      <c r="B22" s="248"/>
      <c r="C22" s="248"/>
      <c r="D22" s="10"/>
      <c r="E22" s="242"/>
      <c r="F22" s="242"/>
      <c r="G22" s="242"/>
      <c r="H22" s="242"/>
      <c r="I22" s="242"/>
      <c r="J22" s="242"/>
      <c r="K22" s="242"/>
      <c r="L22" s="242"/>
      <c r="M22" s="242"/>
      <c r="N22" s="242"/>
      <c r="O22" s="242"/>
      <c r="P22" s="242"/>
      <c r="Q22" s="242"/>
      <c r="R22" s="242"/>
      <c r="S22" s="242"/>
      <c r="T22" s="242"/>
      <c r="U22" s="242"/>
      <c r="V22" s="242"/>
      <c r="W22" s="242"/>
      <c r="X22" s="242"/>
      <c r="Y22" s="242"/>
      <c r="Z22" s="242"/>
      <c r="AA22" s="242"/>
      <c r="AB22" s="242"/>
      <c r="AC22" s="242"/>
      <c r="AD22" s="242"/>
      <c r="AE22" s="242"/>
      <c r="AF22" s="242"/>
      <c r="AG22" s="242"/>
      <c r="AH22" s="242"/>
      <c r="AI22" s="242"/>
      <c r="AJ22" s="242"/>
      <c r="AK22" s="242"/>
      <c r="AL22" s="242"/>
      <c r="AM22" s="242"/>
      <c r="AN22" s="242"/>
      <c r="AO22" s="242"/>
      <c r="AP22" s="242"/>
      <c r="AQ22" s="242"/>
      <c r="AR22" s="242"/>
      <c r="AS22" s="242"/>
      <c r="AT22" s="242"/>
      <c r="AU22" s="242"/>
      <c r="AV22" s="242"/>
      <c r="AW22" s="242"/>
      <c r="AX22" s="242"/>
      <c r="AY22" s="242"/>
      <c r="AZ22" s="243"/>
    </row>
    <row r="23" spans="1:52" s="5" customFormat="1" ht="18.75" customHeight="1" x14ac:dyDescent="0.25">
      <c r="A23" s="247"/>
      <c r="B23" s="248"/>
      <c r="C23" s="248"/>
      <c r="D23" s="10"/>
      <c r="E23" s="242"/>
      <c r="F23" s="242"/>
      <c r="G23" s="242"/>
      <c r="H23" s="242"/>
      <c r="I23" s="242"/>
      <c r="J23" s="242"/>
      <c r="K23" s="242"/>
      <c r="L23" s="242"/>
      <c r="M23" s="242"/>
      <c r="N23" s="242"/>
      <c r="O23" s="242"/>
      <c r="P23" s="242"/>
      <c r="Q23" s="242"/>
      <c r="R23" s="242"/>
      <c r="S23" s="242"/>
      <c r="T23" s="242"/>
      <c r="U23" s="242"/>
      <c r="V23" s="242"/>
      <c r="W23" s="242"/>
      <c r="X23" s="242"/>
      <c r="Y23" s="242"/>
      <c r="Z23" s="242"/>
      <c r="AA23" s="242"/>
      <c r="AB23" s="242"/>
      <c r="AC23" s="242"/>
      <c r="AD23" s="242"/>
      <c r="AE23" s="242"/>
      <c r="AF23" s="242"/>
      <c r="AG23" s="242"/>
      <c r="AH23" s="242"/>
      <c r="AI23" s="242"/>
      <c r="AJ23" s="242"/>
      <c r="AK23" s="242"/>
      <c r="AL23" s="242"/>
      <c r="AM23" s="242"/>
      <c r="AN23" s="242"/>
      <c r="AO23" s="242"/>
      <c r="AP23" s="242"/>
      <c r="AQ23" s="242"/>
      <c r="AR23" s="242"/>
      <c r="AS23" s="242"/>
      <c r="AT23" s="242"/>
      <c r="AU23" s="242"/>
      <c r="AV23" s="242"/>
      <c r="AW23" s="242"/>
      <c r="AX23" s="242"/>
      <c r="AY23" s="242"/>
      <c r="AZ23" s="243"/>
    </row>
    <row r="24" spans="1:52" s="5" customFormat="1" ht="18.75" customHeight="1" x14ac:dyDescent="0.25">
      <c r="A24" s="247"/>
      <c r="B24" s="248"/>
      <c r="C24" s="248"/>
      <c r="D24" s="10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42"/>
      <c r="AO24" s="242"/>
      <c r="AP24" s="242"/>
      <c r="AQ24" s="242"/>
      <c r="AR24" s="242"/>
      <c r="AS24" s="242"/>
      <c r="AT24" s="242"/>
      <c r="AU24" s="242"/>
      <c r="AV24" s="242"/>
      <c r="AW24" s="242"/>
      <c r="AX24" s="242"/>
      <c r="AY24" s="242"/>
      <c r="AZ24" s="243"/>
    </row>
    <row r="25" spans="1:52" s="5" customFormat="1" ht="18.75" customHeight="1" x14ac:dyDescent="0.25">
      <c r="A25" s="247"/>
      <c r="B25" s="248"/>
      <c r="C25" s="248"/>
      <c r="D25" s="10"/>
      <c r="E25" s="242"/>
      <c r="F25" s="242"/>
      <c r="G25" s="242"/>
      <c r="H25" s="242"/>
      <c r="I25" s="242"/>
      <c r="J25" s="242"/>
      <c r="K25" s="242"/>
      <c r="L25" s="242"/>
      <c r="M25" s="242"/>
      <c r="N25" s="242"/>
      <c r="O25" s="242"/>
      <c r="P25" s="242"/>
      <c r="Q25" s="242"/>
      <c r="R25" s="242"/>
      <c r="S25" s="242"/>
      <c r="T25" s="242"/>
      <c r="U25" s="242"/>
      <c r="V25" s="242"/>
      <c r="W25" s="242"/>
      <c r="X25" s="242"/>
      <c r="Y25" s="242"/>
      <c r="Z25" s="242"/>
      <c r="AA25" s="242"/>
      <c r="AB25" s="242"/>
      <c r="AC25" s="242"/>
      <c r="AD25" s="242"/>
      <c r="AE25" s="242"/>
      <c r="AF25" s="242"/>
      <c r="AG25" s="242"/>
      <c r="AH25" s="242"/>
      <c r="AI25" s="242"/>
      <c r="AJ25" s="242"/>
      <c r="AK25" s="242"/>
      <c r="AL25" s="242"/>
      <c r="AM25" s="242"/>
      <c r="AN25" s="242"/>
      <c r="AO25" s="242"/>
      <c r="AP25" s="242"/>
      <c r="AQ25" s="242"/>
      <c r="AR25" s="242"/>
      <c r="AS25" s="242"/>
      <c r="AT25" s="242"/>
      <c r="AU25" s="242"/>
      <c r="AV25" s="242"/>
      <c r="AW25" s="242"/>
      <c r="AX25" s="242"/>
      <c r="AY25" s="242"/>
      <c r="AZ25" s="243"/>
    </row>
    <row r="26" spans="1:52" s="5" customFormat="1" ht="18.75" customHeight="1" x14ac:dyDescent="0.25">
      <c r="A26" s="247"/>
      <c r="B26" s="248"/>
      <c r="C26" s="248"/>
      <c r="D26" s="10"/>
      <c r="E26" s="242"/>
      <c r="F26" s="242"/>
      <c r="G26" s="242"/>
      <c r="H26" s="242"/>
      <c r="I26" s="242"/>
      <c r="J26" s="242"/>
      <c r="K26" s="242"/>
      <c r="L26" s="242"/>
      <c r="M26" s="242"/>
      <c r="N26" s="242"/>
      <c r="O26" s="242"/>
      <c r="P26" s="242"/>
      <c r="Q26" s="242"/>
      <c r="R26" s="242"/>
      <c r="S26" s="242"/>
      <c r="T26" s="242"/>
      <c r="U26" s="242"/>
      <c r="V26" s="242"/>
      <c r="W26" s="242"/>
      <c r="X26" s="242"/>
      <c r="Y26" s="242"/>
      <c r="Z26" s="242"/>
      <c r="AA26" s="242"/>
      <c r="AB26" s="242"/>
      <c r="AC26" s="242"/>
      <c r="AD26" s="242"/>
      <c r="AE26" s="242"/>
      <c r="AF26" s="242"/>
      <c r="AG26" s="242"/>
      <c r="AH26" s="242"/>
      <c r="AI26" s="242"/>
      <c r="AJ26" s="242"/>
      <c r="AK26" s="242"/>
      <c r="AL26" s="242"/>
      <c r="AM26" s="242"/>
      <c r="AN26" s="242"/>
      <c r="AO26" s="242"/>
      <c r="AP26" s="242"/>
      <c r="AQ26" s="242"/>
      <c r="AR26" s="242"/>
      <c r="AS26" s="242"/>
      <c r="AT26" s="242"/>
      <c r="AU26" s="242"/>
      <c r="AV26" s="242"/>
      <c r="AW26" s="242"/>
      <c r="AX26" s="242"/>
      <c r="AY26" s="242"/>
      <c r="AZ26" s="243"/>
    </row>
    <row r="27" spans="1:52" s="5" customFormat="1" ht="18.75" customHeight="1" x14ac:dyDescent="0.25">
      <c r="A27" s="247"/>
      <c r="B27" s="248"/>
      <c r="C27" s="248"/>
      <c r="D27" s="10"/>
      <c r="E27" s="242"/>
      <c r="F27" s="242"/>
      <c r="G27" s="242"/>
      <c r="H27" s="242"/>
      <c r="I27" s="242"/>
      <c r="J27" s="242"/>
      <c r="K27" s="242"/>
      <c r="L27" s="242"/>
      <c r="M27" s="242"/>
      <c r="N27" s="242"/>
      <c r="O27" s="242"/>
      <c r="P27" s="242"/>
      <c r="Q27" s="242"/>
      <c r="R27" s="242"/>
      <c r="S27" s="242"/>
      <c r="T27" s="242"/>
      <c r="U27" s="242"/>
      <c r="V27" s="242"/>
      <c r="W27" s="242"/>
      <c r="X27" s="242"/>
      <c r="Y27" s="242"/>
      <c r="Z27" s="242"/>
      <c r="AA27" s="242"/>
      <c r="AB27" s="242"/>
      <c r="AC27" s="242"/>
      <c r="AD27" s="242"/>
      <c r="AE27" s="242"/>
      <c r="AF27" s="242"/>
      <c r="AG27" s="242"/>
      <c r="AH27" s="242"/>
      <c r="AI27" s="242"/>
      <c r="AJ27" s="242"/>
      <c r="AK27" s="242"/>
      <c r="AL27" s="242"/>
      <c r="AM27" s="242"/>
      <c r="AN27" s="242"/>
      <c r="AO27" s="242"/>
      <c r="AP27" s="242"/>
      <c r="AQ27" s="242"/>
      <c r="AR27" s="242"/>
      <c r="AS27" s="242"/>
      <c r="AT27" s="242"/>
      <c r="AU27" s="242"/>
      <c r="AV27" s="242"/>
      <c r="AW27" s="242"/>
      <c r="AX27" s="242"/>
      <c r="AY27" s="242"/>
      <c r="AZ27" s="243"/>
    </row>
    <row r="28" spans="1:52" s="5" customFormat="1" ht="18.75" customHeight="1" x14ac:dyDescent="0.25">
      <c r="A28" s="247"/>
      <c r="B28" s="248"/>
      <c r="C28" s="248"/>
      <c r="D28" s="10"/>
      <c r="E28" s="242"/>
      <c r="F28" s="242"/>
      <c r="G28" s="242"/>
      <c r="H28" s="24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  <c r="U28" s="242"/>
      <c r="V28" s="242"/>
      <c r="W28" s="242"/>
      <c r="X28" s="242"/>
      <c r="Y28" s="242"/>
      <c r="Z28" s="242"/>
      <c r="AA28" s="242"/>
      <c r="AB28" s="242"/>
      <c r="AC28" s="242"/>
      <c r="AD28" s="242"/>
      <c r="AE28" s="242"/>
      <c r="AF28" s="242"/>
      <c r="AG28" s="242"/>
      <c r="AH28" s="242"/>
      <c r="AI28" s="242"/>
      <c r="AJ28" s="242"/>
      <c r="AK28" s="242"/>
      <c r="AL28" s="242"/>
      <c r="AM28" s="242"/>
      <c r="AN28" s="242"/>
      <c r="AO28" s="242"/>
      <c r="AP28" s="242"/>
      <c r="AQ28" s="242"/>
      <c r="AR28" s="242"/>
      <c r="AS28" s="242"/>
      <c r="AT28" s="242"/>
      <c r="AU28" s="242"/>
      <c r="AV28" s="242"/>
      <c r="AW28" s="242"/>
      <c r="AX28" s="242"/>
      <c r="AY28" s="242"/>
      <c r="AZ28" s="243"/>
    </row>
    <row r="29" spans="1:52" s="5" customFormat="1" ht="18.75" customHeight="1" x14ac:dyDescent="0.25">
      <c r="A29" s="247"/>
      <c r="B29" s="248"/>
      <c r="C29" s="248"/>
      <c r="D29" s="10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2"/>
      <c r="V29" s="242"/>
      <c r="W29" s="242"/>
      <c r="X29" s="242"/>
      <c r="Y29" s="242"/>
      <c r="Z29" s="242"/>
      <c r="AA29" s="242"/>
      <c r="AB29" s="242"/>
      <c r="AC29" s="242"/>
      <c r="AD29" s="242"/>
      <c r="AE29" s="242"/>
      <c r="AF29" s="242"/>
      <c r="AG29" s="242"/>
      <c r="AH29" s="242"/>
      <c r="AI29" s="242"/>
      <c r="AJ29" s="242"/>
      <c r="AK29" s="242"/>
      <c r="AL29" s="242"/>
      <c r="AM29" s="242"/>
      <c r="AN29" s="242"/>
      <c r="AO29" s="242"/>
      <c r="AP29" s="242"/>
      <c r="AQ29" s="242"/>
      <c r="AR29" s="242"/>
      <c r="AS29" s="242"/>
      <c r="AT29" s="242"/>
      <c r="AU29" s="242"/>
      <c r="AV29" s="242"/>
      <c r="AW29" s="242"/>
      <c r="AX29" s="242"/>
      <c r="AY29" s="242"/>
      <c r="AZ29" s="243"/>
    </row>
    <row r="30" spans="1:52" s="5" customFormat="1" ht="18.75" customHeight="1" x14ac:dyDescent="0.25">
      <c r="A30" s="247"/>
      <c r="B30" s="248"/>
      <c r="C30" s="248"/>
      <c r="D30" s="10"/>
      <c r="E30" s="242"/>
      <c r="F30" s="242"/>
      <c r="G30" s="242"/>
      <c r="H30" s="242"/>
      <c r="I30" s="242"/>
      <c r="J30" s="242"/>
      <c r="K30" s="242"/>
      <c r="L30" s="242"/>
      <c r="M30" s="242"/>
      <c r="N30" s="242"/>
      <c r="O30" s="242"/>
      <c r="P30" s="242"/>
      <c r="Q30" s="242"/>
      <c r="R30" s="242"/>
      <c r="S30" s="242"/>
      <c r="T30" s="242"/>
      <c r="U30" s="242"/>
      <c r="V30" s="242"/>
      <c r="W30" s="242"/>
      <c r="X30" s="242"/>
      <c r="Y30" s="242"/>
      <c r="Z30" s="242"/>
      <c r="AA30" s="242"/>
      <c r="AB30" s="242"/>
      <c r="AC30" s="242"/>
      <c r="AD30" s="242"/>
      <c r="AE30" s="242"/>
      <c r="AF30" s="242"/>
      <c r="AG30" s="242"/>
      <c r="AH30" s="242"/>
      <c r="AI30" s="242"/>
      <c r="AJ30" s="242"/>
      <c r="AK30" s="242"/>
      <c r="AL30" s="242"/>
      <c r="AM30" s="242"/>
      <c r="AN30" s="242"/>
      <c r="AO30" s="242"/>
      <c r="AP30" s="242"/>
      <c r="AQ30" s="242"/>
      <c r="AR30" s="242"/>
      <c r="AS30" s="242"/>
      <c r="AT30" s="242"/>
      <c r="AU30" s="242"/>
      <c r="AV30" s="242"/>
      <c r="AW30" s="242"/>
      <c r="AX30" s="242"/>
      <c r="AY30" s="242"/>
      <c r="AZ30" s="243"/>
    </row>
    <row r="31" spans="1:52" s="5" customFormat="1" ht="18.75" customHeight="1" x14ac:dyDescent="0.25">
      <c r="A31" s="247"/>
      <c r="B31" s="248"/>
      <c r="C31" s="248"/>
      <c r="D31" s="10"/>
      <c r="E31" s="242"/>
      <c r="F31" s="242"/>
      <c r="G31" s="242"/>
      <c r="H31" s="242"/>
      <c r="I31" s="242"/>
      <c r="J31" s="242"/>
      <c r="K31" s="242"/>
      <c r="L31" s="242"/>
      <c r="M31" s="242"/>
      <c r="N31" s="242"/>
      <c r="O31" s="242"/>
      <c r="P31" s="242"/>
      <c r="Q31" s="242"/>
      <c r="R31" s="242"/>
      <c r="S31" s="242"/>
      <c r="T31" s="242"/>
      <c r="U31" s="242"/>
      <c r="V31" s="242"/>
      <c r="W31" s="242"/>
      <c r="X31" s="242"/>
      <c r="Y31" s="242"/>
      <c r="Z31" s="242"/>
      <c r="AA31" s="242"/>
      <c r="AB31" s="242"/>
      <c r="AC31" s="242"/>
      <c r="AD31" s="242"/>
      <c r="AE31" s="242"/>
      <c r="AF31" s="242"/>
      <c r="AG31" s="242"/>
      <c r="AH31" s="242"/>
      <c r="AI31" s="242"/>
      <c r="AJ31" s="242"/>
      <c r="AK31" s="242"/>
      <c r="AL31" s="242"/>
      <c r="AM31" s="242"/>
      <c r="AN31" s="242"/>
      <c r="AO31" s="242"/>
      <c r="AP31" s="242"/>
      <c r="AQ31" s="242"/>
      <c r="AR31" s="242"/>
      <c r="AS31" s="242"/>
      <c r="AT31" s="242"/>
      <c r="AU31" s="242"/>
      <c r="AV31" s="242"/>
      <c r="AW31" s="242"/>
      <c r="AX31" s="242"/>
      <c r="AY31" s="242"/>
      <c r="AZ31" s="243"/>
    </row>
    <row r="32" spans="1:52" s="5" customFormat="1" ht="18.75" customHeight="1" x14ac:dyDescent="0.25">
      <c r="A32" s="247"/>
      <c r="B32" s="248"/>
      <c r="C32" s="248"/>
      <c r="D32" s="10"/>
      <c r="E32" s="242"/>
      <c r="F32" s="242"/>
      <c r="G32" s="242"/>
      <c r="H32" s="242"/>
      <c r="I32" s="242"/>
      <c r="J32" s="242"/>
      <c r="K32" s="242"/>
      <c r="L32" s="242"/>
      <c r="M32" s="242"/>
      <c r="N32" s="242"/>
      <c r="O32" s="242"/>
      <c r="P32" s="242"/>
      <c r="Q32" s="242"/>
      <c r="R32" s="242"/>
      <c r="S32" s="242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42"/>
      <c r="AG32" s="242"/>
      <c r="AH32" s="242"/>
      <c r="AI32" s="242"/>
      <c r="AJ32" s="242"/>
      <c r="AK32" s="242"/>
      <c r="AL32" s="242"/>
      <c r="AM32" s="242"/>
      <c r="AN32" s="242"/>
      <c r="AO32" s="242"/>
      <c r="AP32" s="242"/>
      <c r="AQ32" s="242"/>
      <c r="AR32" s="242"/>
      <c r="AS32" s="242"/>
      <c r="AT32" s="242"/>
      <c r="AU32" s="242"/>
      <c r="AV32" s="242"/>
      <c r="AW32" s="242"/>
      <c r="AX32" s="242"/>
      <c r="AY32" s="242"/>
      <c r="AZ32" s="243"/>
    </row>
    <row r="33" spans="1:53" s="5" customFormat="1" ht="18.75" customHeight="1" x14ac:dyDescent="0.25">
      <c r="A33" s="247"/>
      <c r="B33" s="248"/>
      <c r="C33" s="248"/>
      <c r="D33" s="10"/>
      <c r="E33" s="242"/>
      <c r="F33" s="242"/>
      <c r="G33" s="242"/>
      <c r="H33" s="242"/>
      <c r="I33" s="242"/>
      <c r="J33" s="242"/>
      <c r="K33" s="242"/>
      <c r="L33" s="242"/>
      <c r="M33" s="242"/>
      <c r="N33" s="242"/>
      <c r="O33" s="242"/>
      <c r="P33" s="242"/>
      <c r="Q33" s="242"/>
      <c r="R33" s="242"/>
      <c r="S33" s="242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D33" s="242"/>
      <c r="AE33" s="242"/>
      <c r="AF33" s="242"/>
      <c r="AG33" s="242"/>
      <c r="AH33" s="242"/>
      <c r="AI33" s="242"/>
      <c r="AJ33" s="242"/>
      <c r="AK33" s="242"/>
      <c r="AL33" s="242"/>
      <c r="AM33" s="242"/>
      <c r="AN33" s="242"/>
      <c r="AO33" s="242"/>
      <c r="AP33" s="242"/>
      <c r="AQ33" s="242"/>
      <c r="AR33" s="242"/>
      <c r="AS33" s="242"/>
      <c r="AT33" s="242"/>
      <c r="AU33" s="242"/>
      <c r="AV33" s="242"/>
      <c r="AW33" s="242"/>
      <c r="AX33" s="242"/>
      <c r="AY33" s="242"/>
      <c r="AZ33" s="243"/>
    </row>
    <row r="34" spans="1:53" s="5" customFormat="1" ht="18.75" customHeight="1" x14ac:dyDescent="0.25">
      <c r="A34" s="247"/>
      <c r="B34" s="248"/>
      <c r="C34" s="248"/>
      <c r="D34" s="10"/>
      <c r="E34" s="242"/>
      <c r="F34" s="242"/>
      <c r="G34" s="242"/>
      <c r="H34" s="242"/>
      <c r="I34" s="242"/>
      <c r="J34" s="242"/>
      <c r="K34" s="242"/>
      <c r="L34" s="242"/>
      <c r="M34" s="242"/>
      <c r="N34" s="242"/>
      <c r="O34" s="242"/>
      <c r="P34" s="242"/>
      <c r="Q34" s="242"/>
      <c r="R34" s="242"/>
      <c r="S34" s="242"/>
      <c r="T34" s="242"/>
      <c r="U34" s="242"/>
      <c r="V34" s="242"/>
      <c r="W34" s="242"/>
      <c r="X34" s="242"/>
      <c r="Y34" s="242"/>
      <c r="Z34" s="242"/>
      <c r="AA34" s="242"/>
      <c r="AB34" s="242"/>
      <c r="AC34" s="242"/>
      <c r="AD34" s="242"/>
      <c r="AE34" s="242"/>
      <c r="AF34" s="242"/>
      <c r="AG34" s="242"/>
      <c r="AH34" s="242"/>
      <c r="AI34" s="242"/>
      <c r="AJ34" s="242"/>
      <c r="AK34" s="242"/>
      <c r="AL34" s="242"/>
      <c r="AM34" s="242"/>
      <c r="AN34" s="242"/>
      <c r="AO34" s="242"/>
      <c r="AP34" s="242"/>
      <c r="AQ34" s="242"/>
      <c r="AR34" s="242"/>
      <c r="AS34" s="242"/>
      <c r="AT34" s="242"/>
      <c r="AU34" s="242"/>
      <c r="AV34" s="242"/>
      <c r="AW34" s="242"/>
      <c r="AX34" s="242"/>
      <c r="AY34" s="242"/>
      <c r="AZ34" s="243"/>
    </row>
    <row r="35" spans="1:53" s="5" customFormat="1" ht="18.75" customHeight="1" x14ac:dyDescent="0.25">
      <c r="A35" s="247"/>
      <c r="B35" s="248"/>
      <c r="C35" s="248"/>
      <c r="D35" s="10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S35" s="242"/>
      <c r="T35" s="242"/>
      <c r="U35" s="242"/>
      <c r="V35" s="242"/>
      <c r="W35" s="242"/>
      <c r="X35" s="242"/>
      <c r="Y35" s="242"/>
      <c r="Z35" s="242"/>
      <c r="AA35" s="242"/>
      <c r="AB35" s="242"/>
      <c r="AC35" s="242"/>
      <c r="AD35" s="242"/>
      <c r="AE35" s="242"/>
      <c r="AF35" s="242"/>
      <c r="AG35" s="242"/>
      <c r="AH35" s="242"/>
      <c r="AI35" s="242"/>
      <c r="AJ35" s="242"/>
      <c r="AK35" s="242"/>
      <c r="AL35" s="242"/>
      <c r="AM35" s="242"/>
      <c r="AN35" s="242"/>
      <c r="AO35" s="242"/>
      <c r="AP35" s="242"/>
      <c r="AQ35" s="242"/>
      <c r="AR35" s="242"/>
      <c r="AS35" s="242"/>
      <c r="AT35" s="242"/>
      <c r="AU35" s="242"/>
      <c r="AV35" s="242"/>
      <c r="AW35" s="242"/>
      <c r="AX35" s="242"/>
      <c r="AY35" s="242"/>
      <c r="AZ35" s="243"/>
    </row>
    <row r="36" spans="1:53" s="5" customFormat="1" ht="18.75" customHeight="1" x14ac:dyDescent="0.25">
      <c r="A36" s="247"/>
      <c r="B36" s="248"/>
      <c r="C36" s="248"/>
      <c r="D36" s="10"/>
      <c r="E36" s="242"/>
      <c r="F36" s="242"/>
      <c r="G36" s="242"/>
      <c r="H36" s="242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S36" s="242"/>
      <c r="T36" s="242"/>
      <c r="U36" s="242"/>
      <c r="V36" s="242"/>
      <c r="W36" s="242"/>
      <c r="X36" s="242"/>
      <c r="Y36" s="242"/>
      <c r="Z36" s="242"/>
      <c r="AA36" s="242"/>
      <c r="AB36" s="242"/>
      <c r="AC36" s="242"/>
      <c r="AD36" s="242"/>
      <c r="AE36" s="242"/>
      <c r="AF36" s="242"/>
      <c r="AG36" s="242"/>
      <c r="AH36" s="242"/>
      <c r="AI36" s="242"/>
      <c r="AJ36" s="242"/>
      <c r="AK36" s="242"/>
      <c r="AL36" s="242"/>
      <c r="AM36" s="242"/>
      <c r="AN36" s="242"/>
      <c r="AO36" s="242"/>
      <c r="AP36" s="242"/>
      <c r="AQ36" s="242"/>
      <c r="AR36" s="242"/>
      <c r="AS36" s="242"/>
      <c r="AT36" s="242"/>
      <c r="AU36" s="242"/>
      <c r="AV36" s="242"/>
      <c r="AW36" s="242"/>
      <c r="AX36" s="242"/>
      <c r="AY36" s="242"/>
      <c r="AZ36" s="243"/>
    </row>
    <row r="37" spans="1:53" s="5" customFormat="1" ht="18.75" customHeight="1" x14ac:dyDescent="0.25">
      <c r="A37" s="247"/>
      <c r="B37" s="248"/>
      <c r="C37" s="248"/>
      <c r="D37" s="10"/>
      <c r="E37" s="242"/>
      <c r="F37" s="242"/>
      <c r="G37" s="242"/>
      <c r="H37" s="242"/>
      <c r="I37" s="242"/>
      <c r="J37" s="242"/>
      <c r="K37" s="242"/>
      <c r="L37" s="242"/>
      <c r="M37" s="242"/>
      <c r="N37" s="242"/>
      <c r="O37" s="242"/>
      <c r="P37" s="242"/>
      <c r="Q37" s="242"/>
      <c r="R37" s="242"/>
      <c r="S37" s="242"/>
      <c r="T37" s="242"/>
      <c r="U37" s="242"/>
      <c r="V37" s="242"/>
      <c r="W37" s="242"/>
      <c r="X37" s="242"/>
      <c r="Y37" s="242"/>
      <c r="Z37" s="242"/>
      <c r="AA37" s="242"/>
      <c r="AB37" s="242"/>
      <c r="AC37" s="242"/>
      <c r="AD37" s="242"/>
      <c r="AE37" s="242"/>
      <c r="AF37" s="242"/>
      <c r="AG37" s="242"/>
      <c r="AH37" s="242"/>
      <c r="AI37" s="242"/>
      <c r="AJ37" s="242"/>
      <c r="AK37" s="242"/>
      <c r="AL37" s="242"/>
      <c r="AM37" s="242"/>
      <c r="AN37" s="242"/>
      <c r="AO37" s="242"/>
      <c r="AP37" s="242"/>
      <c r="AQ37" s="242"/>
      <c r="AR37" s="242"/>
      <c r="AS37" s="242"/>
      <c r="AT37" s="242"/>
      <c r="AU37" s="242"/>
      <c r="AV37" s="242"/>
      <c r="AW37" s="242"/>
      <c r="AX37" s="242"/>
      <c r="AY37" s="242"/>
      <c r="AZ37" s="243"/>
    </row>
    <row r="38" spans="1:53" s="5" customFormat="1" ht="18.75" customHeight="1" x14ac:dyDescent="0.25">
      <c r="A38" s="247"/>
      <c r="B38" s="248"/>
      <c r="C38" s="248"/>
      <c r="D38" s="10"/>
      <c r="E38" s="242"/>
      <c r="F38" s="242"/>
      <c r="G38" s="242"/>
      <c r="H38" s="242"/>
      <c r="I38" s="242"/>
      <c r="J38" s="242"/>
      <c r="K38" s="242"/>
      <c r="L38" s="242"/>
      <c r="M38" s="242"/>
      <c r="N38" s="242"/>
      <c r="O38" s="242"/>
      <c r="P38" s="242"/>
      <c r="Q38" s="242"/>
      <c r="R38" s="242"/>
      <c r="S38" s="242"/>
      <c r="T38" s="242"/>
      <c r="U38" s="242"/>
      <c r="V38" s="242"/>
      <c r="W38" s="242"/>
      <c r="X38" s="242"/>
      <c r="Y38" s="242"/>
      <c r="Z38" s="242"/>
      <c r="AA38" s="242"/>
      <c r="AB38" s="242"/>
      <c r="AC38" s="242"/>
      <c r="AD38" s="242"/>
      <c r="AE38" s="242"/>
      <c r="AF38" s="242"/>
      <c r="AG38" s="242"/>
      <c r="AH38" s="242"/>
      <c r="AI38" s="242"/>
      <c r="AJ38" s="242"/>
      <c r="AK38" s="242"/>
      <c r="AL38" s="242"/>
      <c r="AM38" s="242"/>
      <c r="AN38" s="242"/>
      <c r="AO38" s="242"/>
      <c r="AP38" s="242"/>
      <c r="AQ38" s="242"/>
      <c r="AR38" s="242"/>
      <c r="AS38" s="242"/>
      <c r="AT38" s="242"/>
      <c r="AU38" s="242"/>
      <c r="AV38" s="242"/>
      <c r="AW38" s="242"/>
      <c r="AX38" s="242"/>
      <c r="AY38" s="242"/>
      <c r="AZ38" s="243"/>
    </row>
    <row r="39" spans="1:53" s="5" customFormat="1" ht="18.75" customHeight="1" x14ac:dyDescent="0.25">
      <c r="A39" s="247"/>
      <c r="B39" s="248"/>
      <c r="C39" s="248"/>
      <c r="D39" s="10"/>
      <c r="E39" s="242"/>
      <c r="F39" s="242"/>
      <c r="G39" s="242"/>
      <c r="H39" s="242"/>
      <c r="I39" s="242"/>
      <c r="J39" s="242"/>
      <c r="K39" s="242"/>
      <c r="L39" s="242"/>
      <c r="M39" s="242"/>
      <c r="N39" s="242"/>
      <c r="O39" s="242"/>
      <c r="P39" s="242"/>
      <c r="Q39" s="242"/>
      <c r="R39" s="242"/>
      <c r="S39" s="242"/>
      <c r="T39" s="242"/>
      <c r="U39" s="242"/>
      <c r="V39" s="242"/>
      <c r="W39" s="242"/>
      <c r="X39" s="242"/>
      <c r="Y39" s="242"/>
      <c r="Z39" s="242"/>
      <c r="AA39" s="242"/>
      <c r="AB39" s="242"/>
      <c r="AC39" s="242"/>
      <c r="AD39" s="242"/>
      <c r="AE39" s="242"/>
      <c r="AF39" s="242"/>
      <c r="AG39" s="242"/>
      <c r="AH39" s="242"/>
      <c r="AI39" s="242"/>
      <c r="AJ39" s="242"/>
      <c r="AK39" s="242"/>
      <c r="AL39" s="242"/>
      <c r="AM39" s="242"/>
      <c r="AN39" s="242"/>
      <c r="AO39" s="242"/>
      <c r="AP39" s="242"/>
      <c r="AQ39" s="242"/>
      <c r="AR39" s="242"/>
      <c r="AS39" s="242"/>
      <c r="AT39" s="242"/>
      <c r="AU39" s="242"/>
      <c r="AV39" s="242"/>
      <c r="AW39" s="242"/>
      <c r="AX39" s="242"/>
      <c r="AY39" s="242"/>
      <c r="AZ39" s="243"/>
    </row>
    <row r="40" spans="1:53" s="5" customFormat="1" ht="18.75" customHeight="1" x14ac:dyDescent="0.25">
      <c r="A40" s="247"/>
      <c r="B40" s="248"/>
      <c r="C40" s="248"/>
      <c r="D40" s="10"/>
      <c r="E40" s="242"/>
      <c r="F40" s="242"/>
      <c r="G40" s="242"/>
      <c r="H40" s="242"/>
      <c r="I40" s="242"/>
      <c r="J40" s="242"/>
      <c r="K40" s="242"/>
      <c r="L40" s="242"/>
      <c r="M40" s="242"/>
      <c r="N40" s="242"/>
      <c r="O40" s="242"/>
      <c r="P40" s="242"/>
      <c r="Q40" s="242"/>
      <c r="R40" s="242"/>
      <c r="S40" s="242"/>
      <c r="T40" s="242"/>
      <c r="U40" s="242"/>
      <c r="V40" s="242"/>
      <c r="W40" s="242"/>
      <c r="X40" s="242"/>
      <c r="Y40" s="242"/>
      <c r="Z40" s="242"/>
      <c r="AA40" s="242"/>
      <c r="AB40" s="242"/>
      <c r="AC40" s="242"/>
      <c r="AD40" s="242"/>
      <c r="AE40" s="242"/>
      <c r="AF40" s="242"/>
      <c r="AG40" s="242"/>
      <c r="AH40" s="242"/>
      <c r="AI40" s="242"/>
      <c r="AJ40" s="242"/>
      <c r="AK40" s="242"/>
      <c r="AL40" s="242"/>
      <c r="AM40" s="242"/>
      <c r="AN40" s="242"/>
      <c r="AO40" s="242"/>
      <c r="AP40" s="242"/>
      <c r="AQ40" s="242"/>
      <c r="AR40" s="242"/>
      <c r="AS40" s="242"/>
      <c r="AT40" s="242"/>
      <c r="AU40" s="242"/>
      <c r="AV40" s="242"/>
      <c r="AW40" s="242"/>
      <c r="AX40" s="242"/>
      <c r="AY40" s="242"/>
      <c r="AZ40" s="243"/>
    </row>
    <row r="41" spans="1:53" s="5" customFormat="1" ht="18.75" customHeight="1" x14ac:dyDescent="0.25">
      <c r="A41" s="247"/>
      <c r="B41" s="248"/>
      <c r="C41" s="248"/>
      <c r="D41" s="10"/>
      <c r="E41" s="242"/>
      <c r="F41" s="242"/>
      <c r="G41" s="242"/>
      <c r="H41" s="242"/>
      <c r="I41" s="242"/>
      <c r="J41" s="242"/>
      <c r="K41" s="242"/>
      <c r="L41" s="242"/>
      <c r="M41" s="242"/>
      <c r="N41" s="242"/>
      <c r="O41" s="242"/>
      <c r="P41" s="242"/>
      <c r="Q41" s="242"/>
      <c r="R41" s="242"/>
      <c r="S41" s="242"/>
      <c r="T41" s="242"/>
      <c r="U41" s="242"/>
      <c r="V41" s="242"/>
      <c r="W41" s="242"/>
      <c r="X41" s="242"/>
      <c r="Y41" s="242"/>
      <c r="Z41" s="242"/>
      <c r="AA41" s="242"/>
      <c r="AB41" s="242"/>
      <c r="AC41" s="242"/>
      <c r="AD41" s="242"/>
      <c r="AE41" s="242"/>
      <c r="AF41" s="242"/>
      <c r="AG41" s="242"/>
      <c r="AH41" s="242"/>
      <c r="AI41" s="242"/>
      <c r="AJ41" s="242"/>
      <c r="AK41" s="242"/>
      <c r="AL41" s="242"/>
      <c r="AM41" s="242"/>
      <c r="AN41" s="242"/>
      <c r="AO41" s="242"/>
      <c r="AP41" s="242"/>
      <c r="AQ41" s="242"/>
      <c r="AR41" s="242"/>
      <c r="AS41" s="242"/>
      <c r="AT41" s="242"/>
      <c r="AU41" s="242"/>
      <c r="AV41" s="242"/>
      <c r="AW41" s="242"/>
      <c r="AX41" s="242"/>
      <c r="AY41" s="242"/>
      <c r="AZ41" s="243"/>
    </row>
    <row r="42" spans="1:53" s="5" customFormat="1" ht="18.75" customHeight="1" x14ac:dyDescent="0.25">
      <c r="A42" s="247"/>
      <c r="B42" s="248"/>
      <c r="C42" s="248"/>
      <c r="D42" s="10"/>
      <c r="E42" s="242"/>
      <c r="F42" s="242"/>
      <c r="G42" s="242"/>
      <c r="H42" s="242"/>
      <c r="I42" s="242"/>
      <c r="J42" s="242"/>
      <c r="K42" s="242"/>
      <c r="L42" s="242"/>
      <c r="M42" s="242"/>
      <c r="N42" s="242"/>
      <c r="O42" s="242"/>
      <c r="P42" s="242"/>
      <c r="Q42" s="242"/>
      <c r="R42" s="242"/>
      <c r="S42" s="242"/>
      <c r="T42" s="242"/>
      <c r="U42" s="242"/>
      <c r="V42" s="242"/>
      <c r="W42" s="242"/>
      <c r="X42" s="242"/>
      <c r="Y42" s="242"/>
      <c r="Z42" s="242"/>
      <c r="AA42" s="242"/>
      <c r="AB42" s="242"/>
      <c r="AC42" s="242"/>
      <c r="AD42" s="242"/>
      <c r="AE42" s="242"/>
      <c r="AF42" s="242"/>
      <c r="AG42" s="242"/>
      <c r="AH42" s="242"/>
      <c r="AI42" s="242"/>
      <c r="AJ42" s="242"/>
      <c r="AK42" s="242"/>
      <c r="AL42" s="242"/>
      <c r="AM42" s="242"/>
      <c r="AN42" s="242"/>
      <c r="AO42" s="242"/>
      <c r="AP42" s="242"/>
      <c r="AQ42" s="242"/>
      <c r="AR42" s="242"/>
      <c r="AS42" s="242"/>
      <c r="AT42" s="242"/>
      <c r="AU42" s="242"/>
      <c r="AV42" s="242"/>
      <c r="AW42" s="242"/>
      <c r="AX42" s="242"/>
      <c r="AY42" s="242"/>
      <c r="AZ42" s="243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"/>
      <c r="R45" s="1"/>
      <c r="S45" s="146"/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"/>
      <c r="AJ45" s="1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6"/>
      <c r="AX45" s="146"/>
      <c r="AY45" s="146"/>
      <c r="AZ45" s="146"/>
    </row>
    <row r="46" spans="1:53" s="1" customFormat="1" ht="18.75" customHeight="1" x14ac:dyDescent="0.25">
      <c r="A46" s="210" t="s">
        <v>77</v>
      </c>
      <c r="B46" s="210"/>
      <c r="C46" s="210"/>
      <c r="D46" s="210"/>
      <c r="E46" s="210"/>
      <c r="F46" s="210"/>
      <c r="G46" s="210"/>
      <c r="H46" s="210"/>
      <c r="I46" s="210"/>
      <c r="J46" s="210"/>
      <c r="K46" s="210"/>
      <c r="L46" s="210"/>
      <c r="M46" s="210"/>
      <c r="N46" s="210"/>
      <c r="O46" s="210"/>
      <c r="P46" s="210"/>
      <c r="Q46" s="54"/>
      <c r="R46" s="54"/>
      <c r="S46" s="121" t="s">
        <v>78</v>
      </c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54"/>
      <c r="AJ46" s="54"/>
      <c r="AK46" s="210" t="s">
        <v>79</v>
      </c>
      <c r="AL46" s="210"/>
      <c r="AM46" s="210"/>
      <c r="AN46" s="210"/>
      <c r="AO46" s="210"/>
      <c r="AP46" s="210"/>
      <c r="AQ46" s="210"/>
      <c r="AR46" s="210"/>
      <c r="AS46" s="210"/>
      <c r="AT46" s="210"/>
      <c r="AU46" s="210"/>
      <c r="AV46" s="210"/>
      <c r="AW46" s="210"/>
      <c r="AX46" s="210"/>
      <c r="AY46" s="210"/>
      <c r="AZ46" s="210"/>
    </row>
    <row r="47" spans="1:53" s="1" customFormat="1" ht="18.7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244"/>
      <c r="J47" s="244"/>
      <c r="K47" s="244"/>
      <c r="L47" s="244"/>
      <c r="M47" s="244"/>
      <c r="N47" s="244"/>
      <c r="O47" s="244"/>
      <c r="P47" s="244"/>
      <c r="S47" s="244"/>
      <c r="T47" s="244"/>
      <c r="U47" s="244"/>
      <c r="V47" s="245"/>
      <c r="W47" s="246"/>
      <c r="X47" s="246"/>
      <c r="Y47" s="246"/>
      <c r="Z47" s="246"/>
      <c r="AA47" s="246"/>
      <c r="AB47" s="246"/>
      <c r="AC47" s="246"/>
      <c r="AD47" s="246"/>
      <c r="AE47" s="246"/>
      <c r="AF47" s="246"/>
      <c r="AG47" s="246"/>
      <c r="AH47" s="246"/>
      <c r="AK47" s="211" t="s">
        <v>792</v>
      </c>
      <c r="AL47" s="211"/>
      <c r="AM47" s="211"/>
      <c r="AN47" s="211"/>
      <c r="AO47" s="211"/>
      <c r="AP47" s="211"/>
      <c r="AQ47" s="211"/>
      <c r="AR47" s="211"/>
      <c r="AS47" s="211"/>
      <c r="AT47" s="211"/>
      <c r="AU47" s="211"/>
      <c r="AV47" s="211"/>
      <c r="AW47" s="211"/>
      <c r="AX47" s="211"/>
      <c r="AY47" s="211"/>
      <c r="AZ47" s="211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89">
    <mergeCell ref="E23:AZ23"/>
    <mergeCell ref="E24:AZ24"/>
    <mergeCell ref="E25:AZ25"/>
    <mergeCell ref="E18:AZ18"/>
    <mergeCell ref="E19:AZ19"/>
    <mergeCell ref="E20:AZ20"/>
    <mergeCell ref="E21:AZ21"/>
    <mergeCell ref="E22:AZ22"/>
    <mergeCell ref="E13:AZ13"/>
    <mergeCell ref="E14:AZ14"/>
    <mergeCell ref="E15:AZ15"/>
    <mergeCell ref="E16:AZ16"/>
    <mergeCell ref="E17:AZ17"/>
    <mergeCell ref="E7:AZ7"/>
    <mergeCell ref="E8:AZ8"/>
    <mergeCell ref="E10:AZ10"/>
    <mergeCell ref="E11:AZ11"/>
    <mergeCell ref="E12:AZ12"/>
    <mergeCell ref="A8:C8"/>
    <mergeCell ref="A9:C9"/>
    <mergeCell ref="A10:C10"/>
    <mergeCell ref="A11:C11"/>
    <mergeCell ref="A12:C12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4:AZ4"/>
    <mergeCell ref="K2:AP2"/>
    <mergeCell ref="A5:C5"/>
    <mergeCell ref="E6:AZ6"/>
    <mergeCell ref="A1:H3"/>
    <mergeCell ref="AS1:AZ3"/>
    <mergeCell ref="A6:C6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22:C22"/>
    <mergeCell ref="A23:C23"/>
    <mergeCell ref="A24:C24"/>
    <mergeCell ref="A32:C32"/>
    <mergeCell ref="A29:C29"/>
    <mergeCell ref="A25:C25"/>
    <mergeCell ref="A26:C26"/>
    <mergeCell ref="A30:C30"/>
    <mergeCell ref="E42:AZ42"/>
    <mergeCell ref="E39:AZ39"/>
    <mergeCell ref="E40:AZ40"/>
    <mergeCell ref="E41:AZ41"/>
    <mergeCell ref="E38:AZ38"/>
    <mergeCell ref="A46:P46"/>
    <mergeCell ref="S46:AH46"/>
    <mergeCell ref="AK46:AZ46"/>
    <mergeCell ref="A47:P47"/>
    <mergeCell ref="AK47:AZ47"/>
    <mergeCell ref="S47:U47"/>
    <mergeCell ref="V47:AH47"/>
    <mergeCell ref="E30:AZ30"/>
    <mergeCell ref="E31:AZ31"/>
    <mergeCell ref="E32:AZ32"/>
    <mergeCell ref="E26:AZ26"/>
    <mergeCell ref="E27:AZ27"/>
    <mergeCell ref="E28:AZ28"/>
    <mergeCell ref="E29:AZ29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1" t="e" vm="1">
        <v>#VALUE!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3"/>
    </row>
    <row r="2" spans="1:15" s="14" customFormat="1" ht="22.5" customHeight="1" x14ac:dyDescent="0.25">
      <c r="A2" s="264"/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6"/>
    </row>
    <row r="3" spans="1:15" s="14" customFormat="1" ht="22.5" customHeight="1" thickBot="1" x14ac:dyDescent="0.3">
      <c r="A3" s="267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N3" s="268"/>
      <c r="O3" s="269"/>
    </row>
    <row r="4" spans="1:15" ht="22.5" customHeight="1" thickBot="1" x14ac:dyDescent="0.3">
      <c r="A4" s="258" t="s">
        <v>2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M4" s="259"/>
      <c r="N4" s="259"/>
      <c r="O4" s="260"/>
    </row>
    <row r="5" spans="1:15" ht="30" customHeight="1" x14ac:dyDescent="0.25">
      <c r="A5" s="270" t="s">
        <v>106</v>
      </c>
      <c r="B5" s="256" t="s">
        <v>107</v>
      </c>
      <c r="C5" s="256" t="s">
        <v>108</v>
      </c>
      <c r="D5" s="256" t="s">
        <v>109</v>
      </c>
      <c r="E5" s="256" t="s">
        <v>110</v>
      </c>
      <c r="F5" s="256" t="s">
        <v>111</v>
      </c>
      <c r="G5" s="256" t="s">
        <v>112</v>
      </c>
      <c r="H5" s="256" t="s">
        <v>113</v>
      </c>
      <c r="I5" s="256" t="s">
        <v>114</v>
      </c>
      <c r="J5" s="272" t="s">
        <v>115</v>
      </c>
      <c r="K5" s="273"/>
      <c r="L5" s="274"/>
      <c r="M5" s="272" t="s">
        <v>116</v>
      </c>
      <c r="N5" s="273"/>
      <c r="O5" s="275"/>
    </row>
    <row r="6" spans="1:15" ht="30" customHeight="1" x14ac:dyDescent="0.25">
      <c r="A6" s="271"/>
      <c r="B6" s="257"/>
      <c r="C6" s="257"/>
      <c r="D6" s="257"/>
      <c r="E6" s="257"/>
      <c r="F6" s="257"/>
      <c r="G6" s="257"/>
      <c r="H6" s="257"/>
      <c r="I6" s="257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0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1" t="e" vm="1">
        <v>#VALUE!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3"/>
    </row>
    <row r="2" spans="1:13" s="14" customFormat="1" ht="22.5" customHeight="1" x14ac:dyDescent="0.25">
      <c r="A2" s="264"/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6"/>
    </row>
    <row r="3" spans="1:13" s="14" customFormat="1" ht="22.5" customHeight="1" thickBot="1" x14ac:dyDescent="0.3">
      <c r="A3" s="267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9"/>
    </row>
    <row r="4" spans="1:13" ht="22.5" customHeight="1" thickBot="1" x14ac:dyDescent="0.3">
      <c r="A4" s="258" t="s">
        <v>660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  <c r="L4" s="259"/>
      <c r="M4" s="260"/>
    </row>
    <row r="5" spans="1:13" ht="30" customHeight="1" x14ac:dyDescent="0.25">
      <c r="A5" s="282" t="s">
        <v>661</v>
      </c>
      <c r="B5" s="276" t="s">
        <v>662</v>
      </c>
      <c r="C5" s="276" t="s">
        <v>107</v>
      </c>
      <c r="D5" s="276" t="s">
        <v>108</v>
      </c>
      <c r="E5" s="276" t="s">
        <v>109</v>
      </c>
      <c r="F5" s="276" t="s">
        <v>110</v>
      </c>
      <c r="G5" s="276" t="s">
        <v>114</v>
      </c>
      <c r="H5" s="278" t="s">
        <v>115</v>
      </c>
      <c r="I5" s="279"/>
      <c r="J5" s="280"/>
      <c r="K5" s="278" t="s">
        <v>116</v>
      </c>
      <c r="L5" s="279"/>
      <c r="M5" s="281"/>
    </row>
    <row r="6" spans="1:13" ht="30" customHeight="1" x14ac:dyDescent="0.25">
      <c r="A6" s="283"/>
      <c r="B6" s="277"/>
      <c r="C6" s="277"/>
      <c r="D6" s="277"/>
      <c r="E6" s="277"/>
      <c r="F6" s="277"/>
      <c r="G6" s="277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Gustavo Dias Arruda</cp:lastModifiedBy>
  <cp:revision/>
  <cp:lastPrinted>2026-09-11T08:18:36Z</cp:lastPrinted>
  <dcterms:created xsi:type="dcterms:W3CDTF">2000-01-10T11:10:21Z</dcterms:created>
  <dcterms:modified xsi:type="dcterms:W3CDTF">2026-09-11T08:23:11Z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